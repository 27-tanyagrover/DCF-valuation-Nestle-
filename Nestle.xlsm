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8_{57DFC953-DCA6-48CC-9FAA-C65135FADF2F}" xr6:coauthVersionLast="47" xr6:coauthVersionMax="47" xr10:uidLastSave="{00000000-0000-0000-0000-000000000000}"/>
  <bookViews>
    <workbookView xWindow="-110" yWindow="-110" windowWidth="19420" windowHeight="10300" firstSheet="3" activeTab="7" xr2:uid="{00000000-000D-0000-FFFF-FFFF00000000}"/>
  </bookViews>
  <sheets>
    <sheet name="about " sheetId="1" r:id="rId1"/>
    <sheet name="p&amp;l" sheetId="2" r:id="rId2"/>
    <sheet name="balance" sheetId="3" r:id="rId3"/>
    <sheet name="ratio" sheetId="4" r:id="rId4"/>
    <sheet name="DIVDEND DATA" sheetId="5" r:id="rId5"/>
    <sheet name="DDM" sheetId="6" r:id="rId6"/>
    <sheet name="DDM VALUE " sheetId="7" r:id="rId7"/>
    <sheet name="FCFF" sheetId="8" r:id="rId8"/>
    <sheet name="Sheet1" sheetId="9" r:id="rId9"/>
    <sheet name="wacc" sheetId="10" r:id="rId10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3" i="8" l="1"/>
  <c r="B64" i="8"/>
  <c r="B14" i="10"/>
  <c r="B10" i="10"/>
  <c r="B4" i="10" s="1"/>
  <c r="B9" i="10"/>
  <c r="B2" i="10"/>
  <c r="B59" i="8"/>
  <c r="B58" i="8"/>
  <c r="B57" i="8"/>
  <c r="I41" i="8"/>
  <c r="J41" i="8" s="1"/>
  <c r="J38" i="8"/>
  <c r="I38" i="8"/>
  <c r="H38" i="8"/>
  <c r="B34" i="8"/>
  <c r="B62" i="8" s="1"/>
  <c r="B33" i="8"/>
  <c r="B27" i="8"/>
  <c r="B31" i="8" s="1"/>
  <c r="B47" i="8" s="1"/>
  <c r="G20" i="8"/>
  <c r="F20" i="8"/>
  <c r="E20" i="8"/>
  <c r="D20" i="8"/>
  <c r="C20" i="8"/>
  <c r="B20" i="8"/>
  <c r="G19" i="8"/>
  <c r="G21" i="8" s="1"/>
  <c r="F19" i="8"/>
  <c r="F21" i="8" s="1"/>
  <c r="F22" i="8" s="1"/>
  <c r="E19" i="8"/>
  <c r="E21" i="8" s="1"/>
  <c r="D19" i="8"/>
  <c r="D21" i="8" s="1"/>
  <c r="C19" i="8"/>
  <c r="C21" i="8" s="1"/>
  <c r="C22" i="8" s="1"/>
  <c r="B19" i="8"/>
  <c r="B21" i="8" s="1"/>
  <c r="G13" i="8"/>
  <c r="G15" i="8" s="1"/>
  <c r="F13" i="8"/>
  <c r="F15" i="8" s="1"/>
  <c r="E13" i="8"/>
  <c r="E15" i="8" s="1"/>
  <c r="D13" i="8"/>
  <c r="D15" i="8" s="1"/>
  <c r="C13" i="8"/>
  <c r="C15" i="8" s="1"/>
  <c r="B13" i="8"/>
  <c r="G10" i="8"/>
  <c r="F10" i="8"/>
  <c r="F14" i="8" s="1"/>
  <c r="E10" i="8"/>
  <c r="E14" i="8" s="1"/>
  <c r="D10" i="8"/>
  <c r="D14" i="8" s="1"/>
  <c r="C10" i="8"/>
  <c r="C14" i="8" s="1"/>
  <c r="B10" i="8"/>
  <c r="B14" i="8" s="1"/>
  <c r="G6" i="8"/>
  <c r="F6" i="8"/>
  <c r="E6" i="8"/>
  <c r="D6" i="8"/>
  <c r="C6" i="8"/>
  <c r="B6" i="8"/>
  <c r="G5" i="8"/>
  <c r="G7" i="8" s="1"/>
  <c r="B11" i="10" s="1"/>
  <c r="F5" i="8"/>
  <c r="F7" i="8" s="1"/>
  <c r="E5" i="8"/>
  <c r="E7" i="8" s="1"/>
  <c r="D5" i="8"/>
  <c r="D7" i="8" s="1"/>
  <c r="C5" i="8"/>
  <c r="C7" i="8" s="1"/>
  <c r="B5" i="8"/>
  <c r="B7" i="8" s="1"/>
  <c r="B12" i="7"/>
  <c r="B11" i="7"/>
  <c r="B10" i="7"/>
  <c r="G10" i="6"/>
  <c r="F10" i="6"/>
  <c r="E10" i="6"/>
  <c r="D10" i="6"/>
  <c r="C10" i="6"/>
  <c r="B10" i="6"/>
  <c r="G9" i="6"/>
  <c r="G16" i="6" s="1"/>
  <c r="F9" i="6"/>
  <c r="F16" i="6" s="1"/>
  <c r="F6" i="7" s="1"/>
  <c r="E9" i="6"/>
  <c r="E16" i="6" s="1"/>
  <c r="E6" i="7" s="1"/>
  <c r="D9" i="6"/>
  <c r="D16" i="6" s="1"/>
  <c r="D6" i="7" s="1"/>
  <c r="C9" i="6"/>
  <c r="C16" i="6" s="1"/>
  <c r="C6" i="7" s="1"/>
  <c r="B9" i="6"/>
  <c r="B16" i="6" s="1"/>
  <c r="B6" i="7" s="1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J5" i="6"/>
  <c r="I5" i="6"/>
  <c r="H5" i="6"/>
  <c r="G5" i="6"/>
  <c r="G14" i="6" s="1"/>
  <c r="G15" i="6" s="1"/>
  <c r="F5" i="6"/>
  <c r="F14" i="6" s="1"/>
  <c r="F15" i="6" s="1"/>
  <c r="E5" i="6"/>
  <c r="E14" i="6" s="1"/>
  <c r="E15" i="6" s="1"/>
  <c r="D5" i="6"/>
  <c r="D14" i="6" s="1"/>
  <c r="D15" i="6" s="1"/>
  <c r="C5" i="6"/>
  <c r="C14" i="6" s="1"/>
  <c r="C15" i="6" s="1"/>
  <c r="B5" i="6"/>
  <c r="B14" i="6" s="1"/>
  <c r="B15" i="6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B12" i="5"/>
  <c r="B13" i="5" s="1"/>
  <c r="B13" i="7" s="1"/>
  <c r="B3" i="10" s="1"/>
  <c r="B20" i="10" s="1"/>
  <c r="B11" i="5"/>
  <c r="G67" i="4"/>
  <c r="F67" i="4"/>
  <c r="E67" i="4"/>
  <c r="D67" i="4"/>
  <c r="C67" i="4"/>
  <c r="B67" i="4"/>
  <c r="G66" i="4"/>
  <c r="G68" i="4" s="1"/>
  <c r="F66" i="4"/>
  <c r="F68" i="4" s="1"/>
  <c r="E66" i="4"/>
  <c r="E68" i="4" s="1"/>
  <c r="D66" i="4"/>
  <c r="D68" i="4" s="1"/>
  <c r="C66" i="4"/>
  <c r="C68" i="4" s="1"/>
  <c r="B66" i="4"/>
  <c r="B68" i="4" s="1"/>
  <c r="G60" i="4"/>
  <c r="F60" i="4"/>
  <c r="E60" i="4"/>
  <c r="D60" i="4"/>
  <c r="C60" i="4"/>
  <c r="B60" i="4"/>
  <c r="G59" i="4"/>
  <c r="F59" i="4"/>
  <c r="E59" i="4"/>
  <c r="D59" i="4"/>
  <c r="C59" i="4"/>
  <c r="B59" i="4"/>
  <c r="G58" i="4"/>
  <c r="G61" i="4" s="1"/>
  <c r="F58" i="4"/>
  <c r="F61" i="4" s="1"/>
  <c r="E58" i="4"/>
  <c r="E61" i="4" s="1"/>
  <c r="D58" i="4"/>
  <c r="D61" i="4" s="1"/>
  <c r="C58" i="4"/>
  <c r="C61" i="4" s="1"/>
  <c r="B58" i="4"/>
  <c r="B61" i="4" s="1"/>
  <c r="G57" i="4"/>
  <c r="G62" i="4" s="1"/>
  <c r="F57" i="4"/>
  <c r="F62" i="4" s="1"/>
  <c r="E57" i="4"/>
  <c r="E62" i="4" s="1"/>
  <c r="D57" i="4"/>
  <c r="D62" i="4" s="1"/>
  <c r="C57" i="4"/>
  <c r="C62" i="4" s="1"/>
  <c r="B57" i="4"/>
  <c r="B62" i="4" s="1"/>
  <c r="G52" i="4"/>
  <c r="F52" i="4"/>
  <c r="E52" i="4"/>
  <c r="D52" i="4"/>
  <c r="C52" i="4"/>
  <c r="B52" i="4"/>
  <c r="G35" i="4"/>
  <c r="G46" i="4" s="1"/>
  <c r="F35" i="4"/>
  <c r="F46" i="4" s="1"/>
  <c r="E35" i="4"/>
  <c r="E46" i="4" s="1"/>
  <c r="D35" i="4"/>
  <c r="D46" i="4" s="1"/>
  <c r="C35" i="4"/>
  <c r="C46" i="4" s="1"/>
  <c r="B35" i="4"/>
  <c r="B46" i="4" s="1"/>
  <c r="G29" i="4"/>
  <c r="F29" i="4"/>
  <c r="E29" i="4"/>
  <c r="D29" i="4"/>
  <c r="C29" i="4"/>
  <c r="B29" i="4"/>
  <c r="G23" i="4"/>
  <c r="G30" i="4" s="1"/>
  <c r="G36" i="4" s="1"/>
  <c r="F23" i="4"/>
  <c r="F30" i="4" s="1"/>
  <c r="F36" i="4" s="1"/>
  <c r="E23" i="4"/>
  <c r="E30" i="4" s="1"/>
  <c r="E36" i="4" s="1"/>
  <c r="D23" i="4"/>
  <c r="D30" i="4" s="1"/>
  <c r="D36" i="4" s="1"/>
  <c r="C23" i="4"/>
  <c r="C30" i="4" s="1"/>
  <c r="C36" i="4" s="1"/>
  <c r="B23" i="4"/>
  <c r="B30" i="4" s="1"/>
  <c r="B36" i="4" s="1"/>
  <c r="G22" i="4"/>
  <c r="F22" i="4"/>
  <c r="E22" i="4"/>
  <c r="D22" i="4"/>
  <c r="C22" i="4"/>
  <c r="B22" i="4"/>
  <c r="G17" i="4"/>
  <c r="G69" i="4" s="1"/>
  <c r="F17" i="4"/>
  <c r="F69" i="4" s="1"/>
  <c r="E17" i="4"/>
  <c r="E69" i="4" s="1"/>
  <c r="D17" i="4"/>
  <c r="D69" i="4" s="1"/>
  <c r="C17" i="4"/>
  <c r="C69" i="4" s="1"/>
  <c r="B17" i="4"/>
  <c r="B69" i="4" s="1"/>
  <c r="G10" i="4"/>
  <c r="F10" i="4"/>
  <c r="E10" i="4"/>
  <c r="D10" i="4"/>
  <c r="C10" i="4"/>
  <c r="B10" i="4"/>
  <c r="G9" i="4"/>
  <c r="F9" i="4"/>
  <c r="E9" i="4"/>
  <c r="D9" i="4"/>
  <c r="C9" i="4"/>
  <c r="B9" i="4"/>
  <c r="G5" i="4"/>
  <c r="G12" i="4" s="1"/>
  <c r="G41" i="4" s="1"/>
  <c r="F5" i="4"/>
  <c r="F12" i="4" s="1"/>
  <c r="F41" i="4" s="1"/>
  <c r="E5" i="4"/>
  <c r="E12" i="4" s="1"/>
  <c r="E41" i="4" s="1"/>
  <c r="D5" i="4"/>
  <c r="D12" i="4" s="1"/>
  <c r="D41" i="4" s="1"/>
  <c r="C5" i="4"/>
  <c r="C12" i="4" s="1"/>
  <c r="C41" i="4" s="1"/>
  <c r="B5" i="4"/>
  <c r="B12" i="4" s="1"/>
  <c r="B41" i="4" s="1"/>
  <c r="G4" i="4"/>
  <c r="F4" i="4"/>
  <c r="E4" i="4"/>
  <c r="D4" i="4"/>
  <c r="C4" i="4"/>
  <c r="B4" i="4"/>
  <c r="G50" i="9"/>
  <c r="F50" i="9"/>
  <c r="E50" i="9"/>
  <c r="D50" i="9"/>
  <c r="C50" i="9"/>
  <c r="B50" i="9"/>
  <c r="G47" i="9"/>
  <c r="F47" i="9"/>
  <c r="E47" i="9"/>
  <c r="D47" i="9"/>
  <c r="C47" i="9"/>
  <c r="B47" i="9"/>
  <c r="G44" i="9"/>
  <c r="F44" i="9"/>
  <c r="E44" i="9"/>
  <c r="D44" i="9"/>
  <c r="C44" i="9"/>
  <c r="B44" i="9"/>
  <c r="G41" i="9"/>
  <c r="F41" i="9"/>
  <c r="E41" i="9"/>
  <c r="D41" i="9"/>
  <c r="C41" i="9"/>
  <c r="B41" i="9"/>
  <c r="G38" i="9"/>
  <c r="F38" i="9"/>
  <c r="E38" i="9"/>
  <c r="D38" i="9"/>
  <c r="C38" i="9"/>
  <c r="B38" i="9"/>
  <c r="G29" i="9"/>
  <c r="G30" i="9" s="1"/>
  <c r="F29" i="9"/>
  <c r="F30" i="9" s="1"/>
  <c r="E29" i="9"/>
  <c r="E30" i="9" s="1"/>
  <c r="D29" i="9"/>
  <c r="D30" i="9" s="1"/>
  <c r="C29" i="9"/>
  <c r="C30" i="9" s="1"/>
  <c r="B29" i="9"/>
  <c r="B30" i="9" s="1"/>
  <c r="G26" i="9"/>
  <c r="G27" i="9" s="1"/>
  <c r="F26" i="9"/>
  <c r="F27" i="9" s="1"/>
  <c r="E26" i="9"/>
  <c r="E27" i="9" s="1"/>
  <c r="D26" i="9"/>
  <c r="D27" i="9" s="1"/>
  <c r="C26" i="9"/>
  <c r="C27" i="9" s="1"/>
  <c r="B26" i="9"/>
  <c r="B27" i="9" s="1"/>
  <c r="G23" i="9"/>
  <c r="G24" i="9" s="1"/>
  <c r="F23" i="9"/>
  <c r="F24" i="9" s="1"/>
  <c r="E23" i="9"/>
  <c r="E24" i="9" s="1"/>
  <c r="D23" i="9"/>
  <c r="D24" i="9" s="1"/>
  <c r="C23" i="9"/>
  <c r="C24" i="9" s="1"/>
  <c r="B23" i="9"/>
  <c r="B24" i="9" s="1"/>
  <c r="G20" i="9"/>
  <c r="G21" i="9" s="1"/>
  <c r="F20" i="9"/>
  <c r="F21" i="9" s="1"/>
  <c r="E20" i="9"/>
  <c r="E21" i="9" s="1"/>
  <c r="D20" i="9"/>
  <c r="D21" i="9" s="1"/>
  <c r="C20" i="9"/>
  <c r="C21" i="9" s="1"/>
  <c r="B20" i="9"/>
  <c r="B21" i="9" s="1"/>
  <c r="G14" i="9"/>
  <c r="F14" i="9"/>
  <c r="E14" i="9"/>
  <c r="D14" i="9"/>
  <c r="C14" i="9"/>
  <c r="B14" i="9"/>
  <c r="G11" i="9"/>
  <c r="F11" i="9"/>
  <c r="F12" i="9" s="1"/>
  <c r="E11" i="9"/>
  <c r="E12" i="9" s="1"/>
  <c r="D11" i="9"/>
  <c r="D12" i="9" s="1"/>
  <c r="C11" i="9"/>
  <c r="C12" i="9" s="1"/>
  <c r="B11" i="9"/>
  <c r="J6" i="9"/>
  <c r="B6" i="10" l="1"/>
  <c r="G14" i="8"/>
  <c r="G16" i="8" s="1"/>
  <c r="G6" i="7"/>
  <c r="G17" i="6"/>
  <c r="G18" i="6"/>
  <c r="G5" i="7"/>
  <c r="F18" i="6"/>
  <c r="F17" i="6"/>
  <c r="F5" i="7"/>
  <c r="E18" i="6"/>
  <c r="E17" i="6"/>
  <c r="E5" i="7"/>
  <c r="D17" i="6"/>
  <c r="D5" i="7"/>
  <c r="D18" i="6"/>
  <c r="C18" i="6"/>
  <c r="C17" i="6"/>
  <c r="C5" i="7"/>
  <c r="B17" i="6"/>
  <c r="B5" i="7"/>
  <c r="G70" i="4"/>
  <c r="G78" i="4"/>
  <c r="G80" i="4" s="1"/>
  <c r="F70" i="4"/>
  <c r="F78" i="4"/>
  <c r="F80" i="4" s="1"/>
  <c r="E70" i="4"/>
  <c r="E78" i="4"/>
  <c r="E80" i="4" s="1"/>
  <c r="D70" i="4"/>
  <c r="D78" i="4"/>
  <c r="D80" i="4" s="1"/>
  <c r="C70" i="4"/>
  <c r="C78" i="4"/>
  <c r="C80" i="4" s="1"/>
  <c r="B70" i="4"/>
  <c r="B78" i="4"/>
  <c r="B80" i="4" s="1"/>
  <c r="G34" i="4"/>
  <c r="G37" i="4" s="1"/>
  <c r="G31" i="4"/>
  <c r="F34" i="4"/>
  <c r="F37" i="4" s="1"/>
  <c r="F31" i="4"/>
  <c r="E31" i="4"/>
  <c r="E34" i="4"/>
  <c r="E37" i="4" s="1"/>
  <c r="D31" i="4"/>
  <c r="D34" i="4"/>
  <c r="D37" i="4" s="1"/>
  <c r="C31" i="4"/>
  <c r="C34" i="4"/>
  <c r="C37" i="4" s="1"/>
  <c r="B34" i="4"/>
  <c r="B37" i="4" s="1"/>
  <c r="B31" i="4"/>
  <c r="G24" i="4"/>
  <c r="G42" i="4"/>
  <c r="G79" i="4" s="1"/>
  <c r="F42" i="4"/>
  <c r="F79" i="4" s="1"/>
  <c r="F24" i="4"/>
  <c r="E24" i="4"/>
  <c r="E42" i="4"/>
  <c r="E79" i="4" s="1"/>
  <c r="D24" i="4"/>
  <c r="D42" i="4"/>
  <c r="D79" i="4" s="1"/>
  <c r="C42" i="4"/>
  <c r="C79" i="4" s="1"/>
  <c r="C24" i="4"/>
  <c r="B24" i="4"/>
  <c r="B42" i="4"/>
  <c r="B79" i="4" s="1"/>
  <c r="G11" i="4"/>
  <c r="G74" i="4"/>
  <c r="F11" i="4"/>
  <c r="F74" i="4"/>
  <c r="E11" i="4"/>
  <c r="E74" i="4"/>
  <c r="D74" i="4"/>
  <c r="D11" i="4"/>
  <c r="C11" i="4"/>
  <c r="C74" i="4"/>
  <c r="B11" i="4"/>
  <c r="B74" i="4"/>
  <c r="G47" i="4"/>
  <c r="G48" i="4" s="1"/>
  <c r="G53" i="4"/>
  <c r="G54" i="4" s="1"/>
  <c r="G43" i="4"/>
  <c r="F43" i="4"/>
  <c r="F47" i="4"/>
  <c r="F48" i="4" s="1"/>
  <c r="F53" i="4"/>
  <c r="F54" i="4" s="1"/>
  <c r="E43" i="4"/>
  <c r="E53" i="4"/>
  <c r="E54" i="4" s="1"/>
  <c r="E47" i="4"/>
  <c r="E48" i="4" s="1"/>
  <c r="D47" i="4"/>
  <c r="D48" i="4" s="1"/>
  <c r="D43" i="4"/>
  <c r="D53" i="4"/>
  <c r="D54" i="4" s="1"/>
  <c r="C47" i="4"/>
  <c r="C48" i="4" s="1"/>
  <c r="C53" i="4"/>
  <c r="C54" i="4" s="1"/>
  <c r="C43" i="4"/>
  <c r="B47" i="4"/>
  <c r="B48" i="4" s="1"/>
  <c r="B43" i="4"/>
  <c r="B53" i="4"/>
  <c r="B54" i="4" s="1"/>
  <c r="G6" i="4"/>
  <c r="G16" i="4"/>
  <c r="G18" i="4" s="1"/>
  <c r="F16" i="4"/>
  <c r="F18" i="4" s="1"/>
  <c r="F6" i="4"/>
  <c r="E6" i="4"/>
  <c r="E16" i="4"/>
  <c r="E18" i="4" s="1"/>
  <c r="D16" i="4"/>
  <c r="D18" i="4" s="1"/>
  <c r="D6" i="4"/>
  <c r="C6" i="4"/>
  <c r="C16" i="4"/>
  <c r="C18" i="4" s="1"/>
  <c r="B16" i="4"/>
  <c r="B18" i="4" s="1"/>
  <c r="B6" i="4"/>
  <c r="G15" i="9"/>
  <c r="G18" i="9"/>
  <c r="F15" i="9"/>
  <c r="F18" i="9"/>
  <c r="E18" i="9"/>
  <c r="E15" i="9"/>
  <c r="D18" i="9"/>
  <c r="D15" i="9"/>
  <c r="C15" i="9"/>
  <c r="C18" i="9"/>
  <c r="B15" i="9"/>
  <c r="B18" i="9"/>
  <c r="G12" i="9"/>
  <c r="B12" i="10"/>
  <c r="B5" i="10" s="1"/>
  <c r="B21" i="10" s="1"/>
  <c r="G22" i="8"/>
  <c r="E22" i="8"/>
  <c r="D22" i="8"/>
  <c r="F16" i="8"/>
  <c r="D16" i="8"/>
  <c r="E16" i="8"/>
  <c r="C16" i="8"/>
  <c r="G7" i="7" l="1"/>
  <c r="A36" i="5"/>
  <c r="B36" i="5" s="1"/>
  <c r="C36" i="5" s="1"/>
  <c r="F7" i="7"/>
  <c r="A35" i="5"/>
  <c r="B35" i="5" s="1"/>
  <c r="C35" i="5" s="1"/>
  <c r="E7" i="7"/>
  <c r="A34" i="5"/>
  <c r="B34" i="5" s="1"/>
  <c r="C34" i="5" s="1"/>
  <c r="D7" i="7"/>
  <c r="A33" i="5"/>
  <c r="B33" i="5" s="1"/>
  <c r="C33" i="5" s="1"/>
  <c r="C7" i="7"/>
  <c r="A32" i="5"/>
  <c r="B32" i="5" s="1"/>
  <c r="C32" i="5" s="1"/>
  <c r="B7" i="7"/>
  <c r="A31" i="5"/>
  <c r="B31" i="5" s="1"/>
  <c r="C31" i="5" s="1"/>
  <c r="C37" i="5" s="1"/>
  <c r="B40" i="5" s="1"/>
  <c r="G3" i="8"/>
  <c r="G8" i="8" s="1"/>
  <c r="G21" i="4"/>
  <c r="G25" i="4" s="1"/>
  <c r="G13" i="4"/>
  <c r="G73" i="4"/>
  <c r="G75" i="4" s="1"/>
  <c r="F3" i="8"/>
  <c r="F8" i="8" s="1"/>
  <c r="F24" i="8" s="1"/>
  <c r="F73" i="4"/>
  <c r="F75" i="4" s="1"/>
  <c r="F21" i="4"/>
  <c r="F25" i="4" s="1"/>
  <c r="F13" i="4"/>
  <c r="E73" i="4"/>
  <c r="E75" i="4" s="1"/>
  <c r="E3" i="8"/>
  <c r="E8" i="8" s="1"/>
  <c r="E24" i="8" s="1"/>
  <c r="E13" i="4"/>
  <c r="E21" i="4"/>
  <c r="E25" i="4" s="1"/>
  <c r="D3" i="8"/>
  <c r="D8" i="8" s="1"/>
  <c r="D24" i="8" s="1"/>
  <c r="D13" i="4"/>
  <c r="D21" i="4"/>
  <c r="D25" i="4" s="1"/>
  <c r="D73" i="4"/>
  <c r="D75" i="4" s="1"/>
  <c r="C13" i="4"/>
  <c r="C73" i="4"/>
  <c r="C75" i="4" s="1"/>
  <c r="C21" i="4"/>
  <c r="C25" i="4" s="1"/>
  <c r="C3" i="8"/>
  <c r="C8" i="8" s="1"/>
  <c r="C24" i="8" s="1"/>
  <c r="B21" i="4"/>
  <c r="B25" i="4" s="1"/>
  <c r="B73" i="4"/>
  <c r="B75" i="4" s="1"/>
  <c r="B13" i="4"/>
  <c r="B3" i="8"/>
  <c r="B8" i="8" s="1"/>
  <c r="B24" i="8" s="1"/>
  <c r="B19" i="10"/>
  <c r="B18" i="10"/>
  <c r="B22" i="10" s="1"/>
  <c r="B30" i="8" s="1"/>
  <c r="H22" i="8"/>
  <c r="J22" i="8"/>
  <c r="K22" i="8"/>
  <c r="I22" i="8"/>
  <c r="L22" i="8"/>
  <c r="H15" i="6" l="1"/>
  <c r="H16" i="6"/>
  <c r="H11" i="9"/>
  <c r="B14" i="7"/>
  <c r="B26" i="8" s="1"/>
  <c r="J4" i="9"/>
  <c r="H8" i="8"/>
  <c r="G24" i="8"/>
  <c r="B35" i="8"/>
  <c r="J42" i="8"/>
  <c r="I42" i="8"/>
  <c r="H42" i="8"/>
  <c r="H17" i="6" l="1"/>
  <c r="H7" i="7" s="1"/>
  <c r="H5" i="7"/>
  <c r="H21" i="7" s="1"/>
  <c r="H22" i="7" s="1"/>
  <c r="H18" i="6"/>
  <c r="H20" i="7" s="1"/>
  <c r="I15" i="6"/>
  <c r="I16" i="6"/>
  <c r="H6" i="7"/>
  <c r="H14" i="9"/>
  <c r="H15" i="9" s="1"/>
  <c r="H12" i="9"/>
  <c r="I11" i="9"/>
  <c r="H16" i="8"/>
  <c r="H10" i="8"/>
  <c r="I10" i="8" s="1"/>
  <c r="J10" i="8" s="1"/>
  <c r="K10" i="8" s="1"/>
  <c r="L10" i="8" s="1"/>
  <c r="I8" i="8"/>
  <c r="I16" i="8" l="1"/>
  <c r="H24" i="8"/>
  <c r="H40" i="8" s="1"/>
  <c r="H43" i="8" s="1"/>
  <c r="I17" i="6"/>
  <c r="I7" i="7" s="1"/>
  <c r="I18" i="6"/>
  <c r="I20" i="7" s="1"/>
  <c r="I5" i="7"/>
  <c r="I21" i="7" s="1"/>
  <c r="I22" i="7" s="1"/>
  <c r="J15" i="6"/>
  <c r="J16" i="6"/>
  <c r="J6" i="7" s="1"/>
  <c r="I6" i="7"/>
  <c r="J11" i="9"/>
  <c r="I12" i="9"/>
  <c r="I14" i="9"/>
  <c r="I15" i="9" s="1"/>
  <c r="J8" i="8"/>
  <c r="J16" i="8" l="1"/>
  <c r="I24" i="8"/>
  <c r="I40" i="8" s="1"/>
  <c r="J17" i="6"/>
  <c r="J7" i="7" s="1"/>
  <c r="J5" i="7"/>
  <c r="J18" i="6"/>
  <c r="J20" i="7" s="1"/>
  <c r="K11" i="9"/>
  <c r="J12" i="9"/>
  <c r="J14" i="9"/>
  <c r="J15" i="9" s="1"/>
  <c r="K8" i="8"/>
  <c r="K16" i="8" l="1"/>
  <c r="L16" i="8" s="1"/>
  <c r="J24" i="8"/>
  <c r="J40" i="8" s="1"/>
  <c r="J43" i="8" s="1"/>
  <c r="I43" i="8"/>
  <c r="J21" i="7"/>
  <c r="J22" i="7" s="1"/>
  <c r="H23" i="7" s="1"/>
  <c r="B32" i="7" s="1"/>
  <c r="B26" i="7"/>
  <c r="B27" i="7" s="1"/>
  <c r="B28" i="7" s="1"/>
  <c r="B33" i="7" s="1"/>
  <c r="L11" i="9"/>
  <c r="K12" i="9"/>
  <c r="K14" i="9"/>
  <c r="K15" i="9" s="1"/>
  <c r="K24" i="8"/>
  <c r="B51" i="8" s="1"/>
  <c r="B46" i="8"/>
  <c r="B48" i="8" s="1"/>
  <c r="B49" i="8" s="1"/>
  <c r="B50" i="8" s="1"/>
  <c r="B55" i="8" s="1"/>
  <c r="L8" i="8"/>
  <c r="L24" i="8" s="1"/>
  <c r="B54" i="8" l="1"/>
  <c r="B56" i="8" s="1"/>
  <c r="L12" i="9"/>
  <c r="L14" i="9"/>
  <c r="L15" i="9" s="1"/>
  <c r="B34" i="7"/>
  <c r="B60" i="8" l="1"/>
  <c r="B61" i="8" s="1"/>
  <c r="B66" i="8"/>
  <c r="B37" i="7"/>
  <c r="B67" i="8"/>
  <c r="B36" i="7"/>
  <c r="B65" i="8" l="1"/>
  <c r="A70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15" authorId="0" shapeId="0" xr:uid="{00000000-0006-0000-0500-000001000000}">
      <text>
        <r>
          <rPr>
            <sz val="11"/>
            <color theme="1"/>
            <rFont val="Aptos Narrow"/>
            <family val="2"/>
            <scheme val="minor"/>
          </rPr>
          <t xml:space="preserve">special bonus was of 180 and we divided it by 10 therefore 18 (stocksplit )
</t>
        </r>
      </text>
    </comment>
  </commentList>
</comments>
</file>

<file path=xl/sharedStrings.xml><?xml version="1.0" encoding="utf-8"?>
<sst xmlns="http://schemas.openxmlformats.org/spreadsheetml/2006/main" count="512" uniqueCount="443">
  <si>
    <t xml:space="preserve">ASSUMPTION </t>
  </si>
  <si>
    <t>BLUE</t>
  </si>
  <si>
    <t>INPUT</t>
  </si>
  <si>
    <t>Selected case</t>
  </si>
  <si>
    <t>Scenarios:</t>
  </si>
  <si>
    <t>Y-o-Y Growth</t>
  </si>
  <si>
    <t>GREEN</t>
  </si>
  <si>
    <t xml:space="preserve">CALCULATED </t>
  </si>
  <si>
    <t>Case 1</t>
  </si>
  <si>
    <t>Optimistic case</t>
  </si>
  <si>
    <t>Case 2</t>
  </si>
  <si>
    <t>BASE</t>
  </si>
  <si>
    <t>Case 3</t>
  </si>
  <si>
    <t>Worst case</t>
  </si>
  <si>
    <t>P&amp;L Assumptions</t>
  </si>
  <si>
    <t xml:space="preserve">Historical </t>
  </si>
  <si>
    <t>Particulars</t>
  </si>
  <si>
    <t xml:space="preserve">FORMULAS </t>
  </si>
  <si>
    <t>Revenue from Operations</t>
  </si>
  <si>
    <t>Previous Year × (1 + Growth Rate</t>
  </si>
  <si>
    <t>y-o-y growth%</t>
  </si>
  <si>
    <t>Other revenues</t>
  </si>
  <si>
    <t>% of revenues</t>
  </si>
  <si>
    <t>Cost of goods sold</t>
  </si>
  <si>
    <t>Employee benefit Expenses</t>
  </si>
  <si>
    <t>Finance Cost</t>
  </si>
  <si>
    <t>Other Expenses</t>
  </si>
  <si>
    <t>Taxes</t>
  </si>
  <si>
    <t>% of  EBT</t>
  </si>
  <si>
    <t>Dividend</t>
  </si>
  <si>
    <t>Dividend Payout Ratio</t>
  </si>
  <si>
    <t>BS Assumptions</t>
  </si>
  <si>
    <t>Trade receivable</t>
  </si>
  <si>
    <t>Days receivables</t>
  </si>
  <si>
    <t>Inventory</t>
  </si>
  <si>
    <t>Days Inventory</t>
  </si>
  <si>
    <t>Trade payable</t>
  </si>
  <si>
    <t>Days payable</t>
  </si>
  <si>
    <t>Other current liabilities</t>
  </si>
  <si>
    <t>as a % of revenue</t>
  </si>
  <si>
    <t>Other current assets</t>
  </si>
  <si>
    <t>"2023 data is excluded due to Nestle India's fiscal year transition from December to March ending"</t>
  </si>
  <si>
    <t>Stock Split</t>
  </si>
  <si>
    <t>Nestle India did a 10:1 Stock Split!</t>
  </si>
  <si>
    <t>Year</t>
  </si>
  <si>
    <t xml:space="preserve"> Revenue From Operations </t>
  </si>
  <si>
    <t>Less: Excise Duty</t>
  </si>
  <si>
    <t>Revenue From Operations(Net)</t>
  </si>
  <si>
    <t xml:space="preserve"> Other Income </t>
  </si>
  <si>
    <t>Total Revenue</t>
  </si>
  <si>
    <t>EXPENSES:</t>
  </si>
  <si>
    <t xml:space="preserve"> Cost of Material Consumed </t>
  </si>
  <si>
    <t xml:space="preserve"> Internally Manufactured Intermediates or Components Consumed </t>
  </si>
  <si>
    <t xml:space="preserve"> Purchases of Stock-in-Trade </t>
  </si>
  <si>
    <t xml:space="preserve"> Changes in Inventories of Finished Goods, Work-in-Progress and Stock-in-Trade </t>
  </si>
  <si>
    <t xml:space="preserve"> Employee Benefits / Salaries &amp; other Staff Cost </t>
  </si>
  <si>
    <t xml:space="preserve"> Finance Cost </t>
  </si>
  <si>
    <t xml:space="preserve"> Depreciation and Amortization </t>
  </si>
  <si>
    <t xml:space="preserve"> Other Expenses </t>
  </si>
  <si>
    <t>Total Expenses</t>
  </si>
  <si>
    <t>Profit Before Exceptional Items and Tax</t>
  </si>
  <si>
    <t xml:space="preserve"> Exceptional Items Before Tax </t>
  </si>
  <si>
    <t>Profit Before Extraordinary Items and Tax</t>
  </si>
  <si>
    <t xml:space="preserve"> Prior Year Adjustments </t>
  </si>
  <si>
    <t>Other Adjustments Before Tax</t>
  </si>
  <si>
    <t xml:space="preserve"> Extraordinary Items Before Tax </t>
  </si>
  <si>
    <t>Profit Before Tax</t>
  </si>
  <si>
    <t>Tax Expenses</t>
  </si>
  <si>
    <t>Current Tax</t>
  </si>
  <si>
    <t>Deferred Tax</t>
  </si>
  <si>
    <t>Other Tax Adjustments</t>
  </si>
  <si>
    <t>Current Tax - MAT / MAT Credit Entitlement</t>
  </si>
  <si>
    <t>Fringe Benefits Tax</t>
  </si>
  <si>
    <t>Provision for Wealth Tax</t>
  </si>
  <si>
    <t xml:space="preserve">  Adjust for Previous Year </t>
  </si>
  <si>
    <t>Others</t>
  </si>
  <si>
    <t>Profit After Tax</t>
  </si>
  <si>
    <t>Pre-acquisition Profit</t>
  </si>
  <si>
    <t>Profit After Pre-acquisition Profit</t>
  </si>
  <si>
    <t xml:space="preserve"> Extraordinary Items After Tax </t>
  </si>
  <si>
    <t>Profit/(Loss) for the period from Continuing Operations</t>
  </si>
  <si>
    <t>Discontinued Operations</t>
  </si>
  <si>
    <t>Profit / (Loss) from Discontinuing Operations</t>
  </si>
  <si>
    <t>Tax Expense of Discontinuing Operations</t>
  </si>
  <si>
    <t>Accounting Changes</t>
  </si>
  <si>
    <t>Profit Attributable to Shareholders</t>
  </si>
  <si>
    <t>Adjustments to Net Income</t>
  </si>
  <si>
    <t>Interim Preference Dividend</t>
  </si>
  <si>
    <t>Proposed / Final Preference Dividend</t>
  </si>
  <si>
    <t>Prior Year Preference Dividend Paid</t>
  </si>
  <si>
    <t>Preference Dividend</t>
  </si>
  <si>
    <t>Preference Dividend Tax</t>
  </si>
  <si>
    <t>Profit Attributable to Ordinary Shareholders</t>
  </si>
  <si>
    <t xml:space="preserve"> Others </t>
  </si>
  <si>
    <t xml:space="preserve"> Transfer from Reserves </t>
  </si>
  <si>
    <t>Unappropriated Profits Brought Forward</t>
  </si>
  <si>
    <t>Profits Available for Appropriation</t>
  </si>
  <si>
    <t xml:space="preserve"> Dividend </t>
  </si>
  <si>
    <t xml:space="preserve"> Transfer to Reserves </t>
  </si>
  <si>
    <t>Dividend Tax</t>
  </si>
  <si>
    <t>Capitalization for Bonus Issue</t>
  </si>
  <si>
    <t>Unappropriated Profits Carried Forward</t>
  </si>
  <si>
    <t>Other Comprehensive Income :</t>
  </si>
  <si>
    <t xml:space="preserve"> Other Comprehensive Income That Will Not Be Reclassified to Profit Or Loss </t>
  </si>
  <si>
    <t xml:space="preserve"> Other Comprehensive Income That Will Be Reclassified to Profit Or Loss : </t>
  </si>
  <si>
    <t xml:space="preserve"> Other Comprehensive Income no Specification : </t>
  </si>
  <si>
    <t>Non-Controlling Interests</t>
  </si>
  <si>
    <t>Total Comprehensive Income for the Year</t>
  </si>
  <si>
    <t>Earning Per Share - Basic</t>
  </si>
  <si>
    <t>Earning Per Share - Diluted</t>
  </si>
  <si>
    <t>Dividend Per Share</t>
  </si>
  <si>
    <t>Interim 1</t>
  </si>
  <si>
    <t>Interim 2</t>
  </si>
  <si>
    <t>Interim 3</t>
  </si>
  <si>
    <t>Interim 4</t>
  </si>
  <si>
    <t>Special</t>
  </si>
  <si>
    <t>Final</t>
  </si>
  <si>
    <t>Total Dividend Per Share</t>
  </si>
  <si>
    <t>Dividend Percentage</t>
  </si>
  <si>
    <t>Total Dividend Percentage</t>
  </si>
  <si>
    <t>Total Dividend</t>
  </si>
  <si>
    <t>Weighted Average Number of Shares in Issue - Basic</t>
  </si>
  <si>
    <t>Weighted Average Number of Shares in Issue - Diluted</t>
  </si>
  <si>
    <t>Interim Dividend Amount</t>
  </si>
  <si>
    <t>Final Dividend Amount</t>
  </si>
  <si>
    <t>Special Dividend Amount</t>
  </si>
  <si>
    <t>Dividend Amount Calculated</t>
  </si>
  <si>
    <t>Other Dividend Amount</t>
  </si>
  <si>
    <t>ASSETS</t>
  </si>
  <si>
    <t>Non-Current Assets:</t>
  </si>
  <si>
    <t>Fixed Assets</t>
  </si>
  <si>
    <t xml:space="preserve">  Property, Plant and Equipment </t>
  </si>
  <si>
    <t xml:space="preserve">  Capital Work in Progress </t>
  </si>
  <si>
    <t xml:space="preserve">  Right-of-Use Assets </t>
  </si>
  <si>
    <t xml:space="preserve">  Intangible Assets </t>
  </si>
  <si>
    <t>Intangible Assets under Development</t>
  </si>
  <si>
    <t>Fixed Assets Held For Sale</t>
  </si>
  <si>
    <t>Lease Adjustment</t>
  </si>
  <si>
    <t xml:space="preserve"> Biological Assets other than Bearer Plants </t>
  </si>
  <si>
    <t>Non-current Investments</t>
  </si>
  <si>
    <t xml:space="preserve">  Investment Properties </t>
  </si>
  <si>
    <t xml:space="preserve">  Investments in Subsidiaries, Associates and Joint venture </t>
  </si>
  <si>
    <t>Financial Assets :</t>
  </si>
  <si>
    <t xml:space="preserve">  Investments of Life Insurance Business </t>
  </si>
  <si>
    <t xml:space="preserve">  Investments - Long-term </t>
  </si>
  <si>
    <t xml:space="preserve">  Loans - Long - Term </t>
  </si>
  <si>
    <t xml:space="preserve">  Others Financial Assets - Long-term </t>
  </si>
  <si>
    <t xml:space="preserve"> Non Current Tax Assets - Long - Term </t>
  </si>
  <si>
    <t xml:space="preserve"> Insurance Related Assets </t>
  </si>
  <si>
    <t xml:space="preserve"> Other Non-current Assets </t>
  </si>
  <si>
    <t xml:space="preserve"> Deferred Tax Assets (Net) </t>
  </si>
  <si>
    <t>Deferred Tax Assets</t>
  </si>
  <si>
    <t>Deferred Tax Liability</t>
  </si>
  <si>
    <t>Net Deferred Tax Assets</t>
  </si>
  <si>
    <t>-</t>
  </si>
  <si>
    <t>Total Reported Non-current Assets</t>
  </si>
  <si>
    <t>Current Assets:</t>
  </si>
  <si>
    <t xml:space="preserve"> Inventories </t>
  </si>
  <si>
    <t xml:space="preserve">  Current Investments </t>
  </si>
  <si>
    <t xml:space="preserve">  Trade Receivables </t>
  </si>
  <si>
    <t xml:space="preserve">  Cash and Cash Equivalents </t>
  </si>
  <si>
    <t xml:space="preserve">  Bank Balances Other Than Cash and Cash Equivalents </t>
  </si>
  <si>
    <t xml:space="preserve">  Loans - Short-term </t>
  </si>
  <si>
    <t xml:space="preserve">  Others Financial Assets - Short-term </t>
  </si>
  <si>
    <t xml:space="preserve"> Current Tax Assets - Short-term </t>
  </si>
  <si>
    <t xml:space="preserve"> Other Current Assets </t>
  </si>
  <si>
    <t xml:space="preserve"> Assets Classified as Held for Sale </t>
  </si>
  <si>
    <t>Total Current Assets</t>
  </si>
  <si>
    <t>Foreign Currency Monetary Item Translation Difference Account</t>
  </si>
  <si>
    <t xml:space="preserve"> Regulatory Deferral Account - Debit Balance </t>
  </si>
  <si>
    <t>Other Assets Excluding Non-Current and Current Assets</t>
  </si>
  <si>
    <t>Total Non-Current and Other Assets</t>
  </si>
  <si>
    <t>Total Assets</t>
  </si>
  <si>
    <t>EQUITY AND LIABILITIES</t>
  </si>
  <si>
    <t xml:space="preserve"> Share Capital </t>
  </si>
  <si>
    <t>Number of Equity Shares - Bought Back during the Current period</t>
  </si>
  <si>
    <t>Number of Total Bonus Shares Issued upto Current period</t>
  </si>
  <si>
    <t>Number of Equity Shares - Paid Up</t>
  </si>
  <si>
    <t>Paid Up Capital</t>
  </si>
  <si>
    <t>Treasury Shares</t>
  </si>
  <si>
    <t>Number of Bonus Shares Issued During the Current Period.</t>
  </si>
  <si>
    <t>Number of Shares Splitted During the Current Period.</t>
  </si>
  <si>
    <t xml:space="preserve"> Other Equity </t>
  </si>
  <si>
    <t>Money Received Against Share Warrants</t>
  </si>
  <si>
    <t xml:space="preserve"> Employee Stock Options / Others </t>
  </si>
  <si>
    <t>Share Application Money Pending Allotment</t>
  </si>
  <si>
    <t>Total Stockholders’ Equity</t>
  </si>
  <si>
    <t>Minority Interest</t>
  </si>
  <si>
    <t>Total Equity</t>
  </si>
  <si>
    <t>Non-Current Liabilities:</t>
  </si>
  <si>
    <t xml:space="preserve">  Long Term Borrowings </t>
  </si>
  <si>
    <t>Lease Liabilities</t>
  </si>
  <si>
    <t xml:space="preserve">  Others Financial Liabilities - Long-term </t>
  </si>
  <si>
    <t xml:space="preserve"> Non Current Tax Liabilities - Long-term </t>
  </si>
  <si>
    <t xml:space="preserve"> Long-term Provisions </t>
  </si>
  <si>
    <t xml:space="preserve"> Deferred Tax Liabilities (Net) </t>
  </si>
  <si>
    <t xml:space="preserve"> Insurance Related Liabilities </t>
  </si>
  <si>
    <t xml:space="preserve"> Other Non-Current Liabilities </t>
  </si>
  <si>
    <t>Total Reported Non-current Liabilities</t>
  </si>
  <si>
    <t>Current Liabilities:</t>
  </si>
  <si>
    <t xml:space="preserve">  Short Term Borrowings </t>
  </si>
  <si>
    <t xml:space="preserve">  Trade Payables </t>
  </si>
  <si>
    <t xml:space="preserve">  Others Financial Liabilities - Short-term </t>
  </si>
  <si>
    <t xml:space="preserve"> Current Tax Liabilities - Short-term </t>
  </si>
  <si>
    <t xml:space="preserve"> Provisions </t>
  </si>
  <si>
    <t xml:space="preserve"> Other Current Liabilities </t>
  </si>
  <si>
    <t xml:space="preserve"> Liabilities Directly Associated with Assets Classified as Held for Sale </t>
  </si>
  <si>
    <t>Total Current Liabilities</t>
  </si>
  <si>
    <t>Hybrid Perpetual Securities</t>
  </si>
  <si>
    <t>Regulatory Deferral Account - Credit Balance</t>
  </si>
  <si>
    <t>Other Liabilities Excluding Equity, Non-Current and Current Liabilities</t>
  </si>
  <si>
    <t>Total Equity and Liabilities</t>
  </si>
  <si>
    <t xml:space="preserve"> Contingent Liabilities and Commitments (to the Extent Not Provided for) </t>
  </si>
  <si>
    <t>Book Value (Unit Curr)</t>
  </si>
  <si>
    <t>profitability</t>
  </si>
  <si>
    <t>net margin</t>
  </si>
  <si>
    <t>Net Profit / Net Sales × 100</t>
  </si>
  <si>
    <t>net profit</t>
  </si>
  <si>
    <t>net sales</t>
  </si>
  <si>
    <t>ebit margin</t>
  </si>
  <si>
    <t>EBIT / Net Sales × 100</t>
  </si>
  <si>
    <t xml:space="preserve">finance cot </t>
  </si>
  <si>
    <t>pat</t>
  </si>
  <si>
    <t xml:space="preserve">EBIT  </t>
  </si>
  <si>
    <t>Net sales</t>
  </si>
  <si>
    <t>ROE</t>
  </si>
  <si>
    <t>Net Profit / Shareholders Equity × 100</t>
  </si>
  <si>
    <t>shareholder equity</t>
  </si>
  <si>
    <t>ROCE</t>
  </si>
  <si>
    <t>EBIT / Capital Employed × 100</t>
  </si>
  <si>
    <t>EBIT</t>
  </si>
  <si>
    <t>total assets</t>
  </si>
  <si>
    <t>current liability</t>
  </si>
  <si>
    <t>cap employed</t>
  </si>
  <si>
    <t>Liquidity Ratio</t>
  </si>
  <si>
    <t>current ratio</t>
  </si>
  <si>
    <t>Current Assets / Current Liabilities</t>
  </si>
  <si>
    <t>current assets</t>
  </si>
  <si>
    <t>Ratio</t>
  </si>
  <si>
    <t>Ideal Range</t>
  </si>
  <si>
    <t>Current Ratio</t>
  </si>
  <si>
    <t>1.5 to 2.0</t>
  </si>
  <si>
    <t>Quick Ratio</t>
  </si>
  <si>
    <t>1.0 to 1.5</t>
  </si>
  <si>
    <t>quick ratio</t>
  </si>
  <si>
    <t>(Current Assets - Inventory) / Current Liabilities</t>
  </si>
  <si>
    <t>inventory</t>
  </si>
  <si>
    <t>Efficiency ratio</t>
  </si>
  <si>
    <t>asset turnover</t>
  </si>
  <si>
    <t>Net Sales / Total Assets</t>
  </si>
  <si>
    <t>net ale</t>
  </si>
  <si>
    <t>inventory day</t>
  </si>
  <si>
    <t>(Inventory / Net Sales) × 365</t>
  </si>
  <si>
    <t xml:space="preserve">inventory  </t>
  </si>
  <si>
    <t xml:space="preserve">Higher Asset Turnover = Better,  Lower Inventory Days = Better </t>
  </si>
  <si>
    <t>receivable day</t>
  </si>
  <si>
    <t>(Debtors / Net Sales) × 365</t>
  </si>
  <si>
    <t>debtor</t>
  </si>
  <si>
    <t>payable day</t>
  </si>
  <si>
    <t>(Creditors / Purchases) × 365</t>
  </si>
  <si>
    <t>creditor</t>
  </si>
  <si>
    <t>cost of purchase</t>
  </si>
  <si>
    <t>purchae of tock</t>
  </si>
  <si>
    <t xml:space="preserve">chamge in inventory </t>
  </si>
  <si>
    <t>total purchase</t>
  </si>
  <si>
    <t>Leverage ratio</t>
  </si>
  <si>
    <t>debt to equity</t>
  </si>
  <si>
    <t>Total Debt / Shareholders Equity</t>
  </si>
  <si>
    <t>long term borroing</t>
  </si>
  <si>
    <t>hort term borroing</t>
  </si>
  <si>
    <t>total debt</t>
  </si>
  <si>
    <t>hareholder equity</t>
  </si>
  <si>
    <t>interet coverage</t>
  </si>
  <si>
    <t>EBIT / Interest Expense</t>
  </si>
  <si>
    <t>Debt/Equity</t>
  </si>
  <si>
    <t>Less than 1</t>
  </si>
  <si>
    <t>Interest Coverage</t>
  </si>
  <si>
    <t>More than 3</t>
  </si>
  <si>
    <t>Interet ep</t>
  </si>
  <si>
    <t>debt to asset</t>
  </si>
  <si>
    <t>Total Debt / Total Assets</t>
  </si>
  <si>
    <t>total  asset</t>
  </si>
  <si>
    <t>NESTLE INDIA - DIVIDEND DISCOUNT MODEL</t>
  </si>
  <si>
    <t>DIVIDEND GROWTH RATE(g)</t>
  </si>
  <si>
    <t>CAGR</t>
  </si>
  <si>
    <t>COST OF EQUUTY</t>
  </si>
  <si>
    <t>rf</t>
  </si>
  <si>
    <t>beta</t>
  </si>
  <si>
    <t xml:space="preserve">KE sHOULD BE GREATER THAN G </t>
  </si>
  <si>
    <t>rm</t>
  </si>
  <si>
    <t xml:space="preserve">HERE G IS GREATER SO WE WILL TAKE 2 STEP DDM </t>
  </si>
  <si>
    <t>CAPM</t>
  </si>
  <si>
    <t>RM-RF</t>
  </si>
  <si>
    <t>KE</t>
  </si>
  <si>
    <t>FORMULAS</t>
  </si>
  <si>
    <t>G</t>
  </si>
  <si>
    <t>ROE* RENTENTION RATIO</t>
  </si>
  <si>
    <t>RETENTION RATIO</t>
  </si>
  <si>
    <t>1-PAYOUT RATIO</t>
  </si>
  <si>
    <t>PAYOUT RATIO</t>
  </si>
  <si>
    <t>DPS/EPS</t>
  </si>
  <si>
    <t>NET PROFIT/SHAREHOLDER EQUITY</t>
  </si>
  <si>
    <t>YEAR</t>
  </si>
  <si>
    <t>NET PROFIT</t>
  </si>
  <si>
    <t>HAREHOLDER EQUITY</t>
  </si>
  <si>
    <t>RETENTON RATIO</t>
  </si>
  <si>
    <t xml:space="preserve">GROWTH RATE </t>
  </si>
  <si>
    <t>STAGE 1</t>
  </si>
  <si>
    <t>STAGE 2</t>
  </si>
  <si>
    <t>GDP GROWTH</t>
  </si>
  <si>
    <t xml:space="preserve">KE&gt;STAGE 2 </t>
  </si>
  <si>
    <t>NETLE INDIA LTD - DIVIDEND DATA</t>
  </si>
  <si>
    <t>NESTLE DID 10:1 STOCK SPLIT IN 2023 THEREFORE OLD EPS MUST BE DIVIDED BY 10</t>
  </si>
  <si>
    <t>PARTICULAR</t>
  </si>
  <si>
    <t>DIVIDEND PER HARE</t>
  </si>
  <si>
    <t>interim dividend</t>
  </si>
  <si>
    <t xml:space="preserve">special dps </t>
  </si>
  <si>
    <t>Nestle gave 10 new shares for every 1 old share held</t>
  </si>
  <si>
    <t>that why we multiplied 10 with 9.64 in 2024</t>
  </si>
  <si>
    <t>final dps</t>
  </si>
  <si>
    <t>EARNING PER HARE</t>
  </si>
  <si>
    <t xml:space="preserve">ADJUTED DATA AFTER STOCK SPLIT </t>
  </si>
  <si>
    <t xml:space="preserve">/ by 10 from 2019 to 2022 as stock split happened in 2023 </t>
  </si>
  <si>
    <t>TOTAL DPS ADJUSTED</t>
  </si>
  <si>
    <t>REGULAR DPS</t>
  </si>
  <si>
    <t>EPS ADJUTED</t>
  </si>
  <si>
    <t>DIVIDEND PAYOUT RATIO</t>
  </si>
  <si>
    <t>YOY DPS GROWTH</t>
  </si>
  <si>
    <t>BLUE = INPUT</t>
  </si>
  <si>
    <t>GREEN = CALCULATED</t>
  </si>
  <si>
    <t xml:space="preserve">NESTLE INDIA 2 STEP DDM VALUATION </t>
  </si>
  <si>
    <t xml:space="preserve">STAGE 1 DDM CALCULATION </t>
  </si>
  <si>
    <t xml:space="preserve">PARTICULAR </t>
  </si>
  <si>
    <t xml:space="preserve">DATA INPUT </t>
  </si>
  <si>
    <t>DPS ADJUSTED</t>
  </si>
  <si>
    <t>EPS</t>
  </si>
  <si>
    <t xml:space="preserve">CAPM </t>
  </si>
  <si>
    <t>RF</t>
  </si>
  <si>
    <t>RM</t>
  </si>
  <si>
    <t>BETA ( YAHOO FINANCE</t>
  </si>
  <si>
    <t>STAGE 1 G</t>
  </si>
  <si>
    <t>STAGE 2 G</t>
  </si>
  <si>
    <t>STAGE 2 DDM CALCULATION</t>
  </si>
  <si>
    <t>DPS GROWTH RATE</t>
  </si>
  <si>
    <t>STAGE 1 FORCASTED DPS</t>
  </si>
  <si>
    <t xml:space="preserve">DISCOUNTING PV </t>
  </si>
  <si>
    <t xml:space="preserve">SUM OF PV </t>
  </si>
  <si>
    <t>TERMINAL VALUE</t>
  </si>
  <si>
    <t>DIVIDEND AT 4TH YEAR</t>
  </si>
  <si>
    <t>TV AT 3 YEAR</t>
  </si>
  <si>
    <t>PV OF TV</t>
  </si>
  <si>
    <t xml:space="preserve">FINAL VALUATION </t>
  </si>
  <si>
    <t>PV OF ATGE 1 DIVIDENS</t>
  </si>
  <si>
    <t>PV OFSTAGE 2 DIVIDENS</t>
  </si>
  <si>
    <t>INTRINCIC VALUE</t>
  </si>
  <si>
    <t>CURRENT MARKET PRICE</t>
  </si>
  <si>
    <t xml:space="preserve">DIFFERENCE </t>
  </si>
  <si>
    <t>POSTIVIE = UNDERVALUE</t>
  </si>
  <si>
    <t>UPSIDE</t>
  </si>
  <si>
    <t>RESULT</t>
  </si>
  <si>
    <t xml:space="preserve">UNDERVALUED </t>
  </si>
  <si>
    <t xml:space="preserve">Undervalued Stock cheaper than worth BUY </t>
  </si>
  <si>
    <t>FCFF CALCULATION</t>
  </si>
  <si>
    <t>TAX RATE</t>
  </si>
  <si>
    <t xml:space="preserve">TAX EXP/PBT </t>
  </si>
  <si>
    <t>TAX EXPENSE</t>
  </si>
  <si>
    <t xml:space="preserve">PBT </t>
  </si>
  <si>
    <t>EBIT(1-TAX RATE)</t>
  </si>
  <si>
    <t>DEP</t>
  </si>
  <si>
    <t>CAPEX</t>
  </si>
  <si>
    <t>FIXED ASSETS</t>
  </si>
  <si>
    <t>Previous Year × (1 + Growth Rate)</t>
  </si>
  <si>
    <t>2025 ΔWC = +1,115.92 — Abnormally HIGH
This was one time spike!
For projections we use AVERAGE ΔWC
of normal years (2020-2024)
= Average ΔWC = -79
(Negative = Cash inflow — Nestle's normal!)</t>
  </si>
  <si>
    <t>WORKING CAPITAL</t>
  </si>
  <si>
    <t xml:space="preserve"> OPERATING CURRENT ASSETS</t>
  </si>
  <si>
    <t>OPERATING CURRENT LIABILITIES</t>
  </si>
  <si>
    <t>NET WORKING CAP</t>
  </si>
  <si>
    <t>CHANGE IN WORKING CAP</t>
  </si>
  <si>
    <t>Historical Average (Normalized)</t>
  </si>
  <si>
    <t>FCFF</t>
  </si>
  <si>
    <t>HIGH GROWTH</t>
  </si>
  <si>
    <t>STABLE GROWTH</t>
  </si>
  <si>
    <t>DCF VALUATION (FCFF, 2-STAGE) - Rs crore except per-share</t>
  </si>
  <si>
    <t>WACC</t>
  </si>
  <si>
    <t>From wacc sheet</t>
  </si>
  <si>
    <t>mm</t>
  </si>
  <si>
    <t>Stable growth rate (g)</t>
  </si>
  <si>
    <t>Same stable growth as the DDM; must be below WACC</t>
  </si>
  <si>
    <t>Terminal ROIC (assumption)</t>
  </si>
  <si>
    <t>INPUT. Return earned on new investment in stable phase; set well below the 2025 ROIC in B35 (competitive fade). See sensitivity below</t>
  </si>
  <si>
    <t>Shares outstanding (crore)</t>
  </si>
  <si>
    <t>Paid-up shares (Rs 1 face value), 2025</t>
  </si>
  <si>
    <t>Current market price (Rs)</t>
  </si>
  <si>
    <t>Same price as DDM valuation</t>
  </si>
  <si>
    <t>Memo: 2025 ROIC</t>
  </si>
  <si>
    <t>NOPAT / (fixed assets + net working capital), year-end 2025</t>
  </si>
  <si>
    <t>STAGE 1: HIGH-GROWTH FCFF (2026-2028) - same 3-year stage as the DDM</t>
  </si>
  <si>
    <t>Growth phase</t>
  </si>
  <si>
    <t>High growth</t>
  </si>
  <si>
    <t>Discount period (t)</t>
  </si>
  <si>
    <t>Discount factor</t>
  </si>
  <si>
    <t>PV of FCFF</t>
  </si>
  <si>
    <t>STAGE 2: TERMINAL VALUE AT END OF 2028 (stable growth from 2029)</t>
  </si>
  <si>
    <t>NOPAT 2029 = 2028 x (1+g)</t>
  </si>
  <si>
    <t>Reinvestment rate = g / ROIC</t>
  </si>
  <si>
    <t>Net capex + working-capital investment needed to sustain growth of g</t>
  </si>
  <si>
    <t>FCFF 2029 = NOPAT x (1 - reinvestment)</t>
  </si>
  <si>
    <t>Terminal value at 2028</t>
  </si>
  <si>
    <t>FCFF 2029 / (WACC - g)</t>
  </si>
  <si>
    <t>PV of terminal value</t>
  </si>
  <si>
    <t>Memo: mechanical 2029 FCFF (row 24)</t>
  </si>
  <si>
    <t>Not used: carries the 15% capex ramp (capex 3.7x dep) and a perpetual working-capital inflow into stable growth</t>
  </si>
  <si>
    <t>ENTERPRISE VALUE TO INTRINSIC VALUE</t>
  </si>
  <si>
    <t>Sum of PV of FCFF (2026-2028)</t>
  </si>
  <si>
    <t>Enterprise value (EV)</t>
  </si>
  <si>
    <t>Less: total debt (incl. leases)</t>
  </si>
  <si>
    <t>Add: cash &amp; liquid investments</t>
  </si>
  <si>
    <t>Cash + other bank balances + current investments, 2025</t>
  </si>
  <si>
    <t>Add: non-operating investments</t>
  </si>
  <si>
    <t>Investments in subsidiaries/JV and long-term investments; their income is not in EBIT</t>
  </si>
  <si>
    <t>Equity value</t>
  </si>
  <si>
    <t>Intrinsic value per share (Rs)</t>
  </si>
  <si>
    <t>Difference (Rs)</t>
  </si>
  <si>
    <t>Positive = undervalued</t>
  </si>
  <si>
    <t>Upside / (downside)</t>
  </si>
  <si>
    <t>TV as % of EV</t>
  </si>
  <si>
    <t>Cross-check: DDM intrinsic value (Rs)</t>
  </si>
  <si>
    <t>(WE*KE)+(WD*KD)</t>
  </si>
  <si>
    <t>TOTAL EQUITY</t>
  </si>
  <si>
    <t xml:space="preserve">WACC SHOULD BE GREATER THAN TERMINAL GROWTH RATE OR G2 </t>
  </si>
  <si>
    <t>Terminal Value = FCFF × (1+g) / (WACC - g)</t>
  </si>
  <si>
    <t xml:space="preserve">TOTAL DEBT </t>
  </si>
  <si>
    <t>KD</t>
  </si>
  <si>
    <t>TOTAL CAP</t>
  </si>
  <si>
    <t>COST OF DEPT (KD)</t>
  </si>
  <si>
    <t>Kd = Finance Cost / Total Debt × (1 - Tax Rate)</t>
  </si>
  <si>
    <t>FROM YEAR 2025</t>
  </si>
  <si>
    <t>FINANCE COST</t>
  </si>
  <si>
    <t>TOTAL DEBT</t>
  </si>
  <si>
    <t xml:space="preserve">KD </t>
  </si>
  <si>
    <t>WE</t>
  </si>
  <si>
    <t>WD</t>
  </si>
  <si>
    <t>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</si>
</sst>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%"/>
    <numFmt numFmtId="165" formatCode="0.000000000000000%"/>
    <numFmt numFmtId="166" formatCode="0.0%"/>
    <numFmt numFmtId="167" formatCode="0.0"/>
    <numFmt numFmtId="168" formatCode="_(* #,##0.0_);_(* \(#,##0.0\);_(* &quot;-&quot;?_);@_)"/>
    <numFmt numFmtId="169" formatCode="#,##0.00;\(#,##0.00\);\-"/>
    <numFmt numFmtId="170" formatCode="0.0000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11"/>
      <color rgb="FF0070C0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00B0F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2"/>
      <color rgb="FF92D050"/>
      <name val="Aptos"/>
      <family val="2"/>
    </font>
    <font>
      <sz val="11"/>
      <color theme="9" tint="-0.499984740745262"/>
      <name val="Aptos Narrow"/>
      <family val="2"/>
      <scheme val="minor"/>
    </font>
    <font>
      <sz val="11"/>
      <color theme="9" tint="-0.249977111117893"/>
      <name val="Aptos Narrow"/>
      <family val="2"/>
      <scheme val="minor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1"/>
      <name val="Aptos Narrow"/>
      <family val="2"/>
      <scheme val="minor"/>
    </font>
    <font>
      <sz val="9"/>
      <color theme="1"/>
      <name val="Arial"/>
      <family val="2"/>
    </font>
    <font>
      <b/>
      <sz val="10"/>
      <color theme="1"/>
      <name val="Times New Roman"/>
      <family val="1"/>
    </font>
    <font>
      <b/>
      <sz val="10"/>
      <color rgb="FF00B050"/>
      <name val="Times New Roman"/>
      <family val="1"/>
    </font>
    <font>
      <b/>
      <sz val="10"/>
      <color rgb="FF0070C0"/>
      <name val="Times New Roman"/>
      <family val="1"/>
    </font>
    <font>
      <b/>
      <sz val="11"/>
      <name val="Aptos Narrow"/>
      <family val="2"/>
    </font>
    <font>
      <sz val="11"/>
      <name val="Aptos Narrow"/>
      <family val="2"/>
    </font>
    <font>
      <sz val="11"/>
      <color rgb="FF008000"/>
      <name val="Aptos Narrow"/>
      <family val="2"/>
    </font>
    <font>
      <sz val="11"/>
      <color rgb="FF0000FF"/>
      <name val="Aptos Narrow"/>
      <family val="2"/>
    </font>
    <font>
      <b/>
      <sz val="11"/>
      <color rgb="FF0000FF"/>
      <name val="Aptos Narrow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</patternFill>
    </fill>
    <fill>
      <patternFill patternType="solid">
        <fgColor rgb="FFFFF2CC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/>
  </cellStyleXfs>
  <cellXfs count="150">
    <xf numFmtId="0" fontId="0" fillId="0" borderId="0" xfId="0"/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5" fillId="0" borderId="1" xfId="0" applyFont="1" applyBorder="1" applyAlignment="1">
      <alignment wrapText="1"/>
    </xf>
    <xf numFmtId="4" fontId="5" fillId="0" borderId="1" xfId="0" applyNumberFormat="1" applyFont="1" applyBorder="1" applyAlignment="1">
      <alignment wrapText="1"/>
    </xf>
    <xf numFmtId="0" fontId="0" fillId="0" borderId="3" xfId="0" applyBorder="1"/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4" xfId="0" applyBorder="1"/>
    <xf numFmtId="4" fontId="0" fillId="0" borderId="4" xfId="0" applyNumberFormat="1" applyBorder="1"/>
    <xf numFmtId="4" fontId="0" fillId="0" borderId="5" xfId="0" applyNumberFormat="1" applyBorder="1"/>
    <xf numFmtId="0" fontId="0" fillId="0" borderId="5" xfId="0" applyBorder="1"/>
    <xf numFmtId="0" fontId="6" fillId="0" borderId="2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4" fontId="0" fillId="0" borderId="7" xfId="0" applyNumberFormat="1" applyBorder="1"/>
    <xf numFmtId="4" fontId="0" fillId="0" borderId="8" xfId="0" applyNumberFormat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3" xfId="0" applyBorder="1"/>
    <xf numFmtId="0" fontId="0" fillId="0" borderId="14" xfId="0" applyBorder="1"/>
    <xf numFmtId="4" fontId="0" fillId="0" borderId="0" xfId="0" applyNumberFormat="1"/>
    <xf numFmtId="0" fontId="0" fillId="0" borderId="15" xfId="0" applyBorder="1"/>
    <xf numFmtId="0" fontId="0" fillId="0" borderId="15" xfId="0" applyBorder="1" applyAlignment="1">
      <alignment horizontal="center"/>
    </xf>
    <xf numFmtId="0" fontId="6" fillId="0" borderId="16" xfId="0" applyFont="1" applyBorder="1" applyAlignment="1">
      <alignment horizontal="center" vertical="center" wrapText="1"/>
    </xf>
    <xf numFmtId="4" fontId="0" fillId="0" borderId="18" xfId="0" applyNumberFormat="1" applyBorder="1"/>
    <xf numFmtId="4" fontId="0" fillId="0" borderId="19" xfId="0" applyNumberFormat="1" applyBorder="1"/>
    <xf numFmtId="0" fontId="0" fillId="0" borderId="19" xfId="0" applyBorder="1"/>
    <xf numFmtId="0" fontId="6" fillId="0" borderId="0" xfId="0" applyFont="1" applyAlignment="1">
      <alignment horizontal="center" vertical="center" wrapText="1"/>
    </xf>
    <xf numFmtId="0" fontId="3" fillId="3" borderId="0" xfId="0" applyFont="1" applyFill="1"/>
    <xf numFmtId="0" fontId="6" fillId="3" borderId="0" xfId="0" applyFont="1" applyFill="1" applyAlignment="1">
      <alignment horizontal="center" vertical="center" wrapText="1"/>
    </xf>
    <xf numFmtId="0" fontId="9" fillId="0" borderId="0" xfId="0" applyFont="1" applyAlignment="1">
      <alignment wrapText="1"/>
    </xf>
    <xf numFmtId="10" fontId="0" fillId="0" borderId="0" xfId="0" applyNumberFormat="1"/>
    <xf numFmtId="0" fontId="10" fillId="0" borderId="0" xfId="0" applyFont="1"/>
    <xf numFmtId="0" fontId="11" fillId="0" borderId="0" xfId="0" applyFont="1"/>
    <xf numFmtId="10" fontId="11" fillId="0" borderId="0" xfId="0" applyNumberFormat="1" applyFont="1"/>
    <xf numFmtId="0" fontId="12" fillId="0" borderId="0" xfId="0" applyFont="1"/>
    <xf numFmtId="0" fontId="4" fillId="4" borderId="0" xfId="0" applyFont="1" applyFill="1"/>
    <xf numFmtId="0" fontId="6" fillId="0" borderId="0" xfId="0" applyFont="1" applyAlignment="1">
      <alignment horizontal="left" vertical="center" wrapText="1"/>
    </xf>
    <xf numFmtId="9" fontId="0" fillId="0" borderId="0" xfId="0" applyNumberFormat="1"/>
    <xf numFmtId="0" fontId="6" fillId="3" borderId="0" xfId="0" applyFont="1" applyFill="1" applyAlignment="1">
      <alignment horizontal="left" vertical="center" wrapText="1"/>
    </xf>
    <xf numFmtId="164" fontId="0" fillId="3" borderId="0" xfId="0" applyNumberFormat="1" applyFill="1"/>
    <xf numFmtId="0" fontId="0" fillId="3" borderId="0" xfId="0" applyFill="1"/>
    <xf numFmtId="165" fontId="0" fillId="0" borderId="0" xfId="0" applyNumberFormat="1"/>
    <xf numFmtId="165" fontId="3" fillId="8" borderId="0" xfId="0" applyNumberFormat="1" applyFont="1" applyFill="1"/>
    <xf numFmtId="0" fontId="3" fillId="8" borderId="0" xfId="0" applyFont="1" applyFill="1"/>
    <xf numFmtId="166" fontId="11" fillId="0" borderId="0" xfId="0" applyNumberFormat="1" applyFont="1"/>
    <xf numFmtId="167" fontId="0" fillId="0" borderId="0" xfId="0" applyNumberFormat="1"/>
    <xf numFmtId="0" fontId="14" fillId="0" borderId="0" xfId="0" applyFont="1" applyAlignment="1">
      <alignment vertical="center"/>
    </xf>
    <xf numFmtId="10" fontId="10" fillId="0" borderId="0" xfId="0" applyNumberFormat="1" applyFont="1"/>
    <xf numFmtId="0" fontId="3" fillId="0" borderId="4" xfId="0" applyFont="1" applyBorder="1"/>
    <xf numFmtId="0" fontId="3" fillId="10" borderId="17" xfId="0" applyFont="1" applyFill="1" applyBorder="1"/>
    <xf numFmtId="0" fontId="0" fillId="10" borderId="4" xfId="0" applyFill="1" applyBorder="1"/>
    <xf numFmtId="0" fontId="3" fillId="10" borderId="4" xfId="0" applyFont="1" applyFill="1" applyBorder="1"/>
    <xf numFmtId="0" fontId="0" fillId="0" borderId="4" xfId="0" applyBorder="1" applyAlignment="1">
      <alignment horizontal="center"/>
    </xf>
    <xf numFmtId="0" fontId="0" fillId="13" borderId="0" xfId="0" applyFill="1"/>
    <xf numFmtId="9" fontId="10" fillId="0" borderId="4" xfId="0" applyNumberFormat="1" applyFont="1" applyBorder="1"/>
    <xf numFmtId="0" fontId="10" fillId="0" borderId="4" xfId="0" applyFont="1" applyBorder="1"/>
    <xf numFmtId="10" fontId="10" fillId="0" borderId="4" xfId="0" applyNumberFormat="1" applyFont="1" applyBorder="1"/>
    <xf numFmtId="2" fontId="10" fillId="0" borderId="4" xfId="0" applyNumberFormat="1" applyFont="1" applyBorder="1"/>
    <xf numFmtId="0" fontId="0" fillId="3" borderId="4" xfId="0" applyFill="1" applyBorder="1"/>
    <xf numFmtId="0" fontId="6" fillId="3" borderId="4" xfId="0" applyFont="1" applyFill="1" applyBorder="1" applyAlignment="1">
      <alignment horizontal="center" vertical="center" wrapText="1"/>
    </xf>
    <xf numFmtId="0" fontId="6" fillId="9" borderId="4" xfId="0" applyFont="1" applyFill="1" applyBorder="1" applyAlignment="1">
      <alignment horizontal="center" vertical="center" wrapText="1"/>
    </xf>
    <xf numFmtId="0" fontId="3" fillId="9" borderId="4" xfId="0" applyFont="1" applyFill="1" applyBorder="1"/>
    <xf numFmtId="10" fontId="0" fillId="0" borderId="4" xfId="0" applyNumberFormat="1" applyBorder="1"/>
    <xf numFmtId="0" fontId="0" fillId="9" borderId="4" xfId="0" applyFill="1" applyBorder="1"/>
    <xf numFmtId="0" fontId="12" fillId="0" borderId="4" xfId="0" applyFont="1" applyBorder="1"/>
    <xf numFmtId="0" fontId="16" fillId="14" borderId="4" xfId="0" applyFont="1" applyFill="1" applyBorder="1"/>
    <xf numFmtId="0" fontId="15" fillId="14" borderId="4" xfId="0" applyFont="1" applyFill="1" applyBorder="1"/>
    <xf numFmtId="0" fontId="4" fillId="4" borderId="4" xfId="0" applyFont="1" applyFill="1" applyBorder="1"/>
    <xf numFmtId="2" fontId="0" fillId="0" borderId="4" xfId="0" applyNumberFormat="1" applyBorder="1"/>
    <xf numFmtId="0" fontId="15" fillId="14" borderId="0" xfId="0" applyFont="1" applyFill="1"/>
    <xf numFmtId="10" fontId="15" fillId="14" borderId="0" xfId="0" applyNumberFormat="1" applyFont="1" applyFill="1"/>
    <xf numFmtId="4" fontId="15" fillId="14" borderId="0" xfId="0" applyNumberFormat="1" applyFont="1" applyFill="1"/>
    <xf numFmtId="0" fontId="15" fillId="9" borderId="4" xfId="0" applyFont="1" applyFill="1" applyBorder="1"/>
    <xf numFmtId="165" fontId="0" fillId="0" borderId="4" xfId="0" applyNumberFormat="1" applyBorder="1"/>
    <xf numFmtId="165" fontId="15" fillId="14" borderId="4" xfId="0" applyNumberFormat="1" applyFont="1" applyFill="1" applyBorder="1"/>
    <xf numFmtId="168" fontId="17" fillId="15" borderId="0" xfId="0" applyNumberFormat="1" applyFont="1" applyFill="1"/>
    <xf numFmtId="0" fontId="0" fillId="15" borderId="0" xfId="0" applyFill="1"/>
    <xf numFmtId="9" fontId="0" fillId="15" borderId="0" xfId="1" applyFont="1" applyFill="1"/>
    <xf numFmtId="168" fontId="8" fillId="4" borderId="0" xfId="0" applyNumberFormat="1" applyFont="1" applyFill="1"/>
    <xf numFmtId="168" fontId="18" fillId="15" borderId="4" xfId="0" applyNumberFormat="1" applyFont="1" applyFill="1" applyBorder="1"/>
    <xf numFmtId="168" fontId="18" fillId="0" borderId="4" xfId="0" applyNumberFormat="1" applyFont="1" applyBorder="1"/>
    <xf numFmtId="168" fontId="20" fillId="15" borderId="0" xfId="0" applyNumberFormat="1" applyFont="1" applyFill="1"/>
    <xf numFmtId="168" fontId="21" fillId="0" borderId="4" xfId="0" applyNumberFormat="1" applyFont="1" applyBorder="1"/>
    <xf numFmtId="168" fontId="18" fillId="3" borderId="0" xfId="0" applyNumberFormat="1" applyFont="1" applyFill="1"/>
    <xf numFmtId="0" fontId="18" fillId="3" borderId="0" xfId="0" applyFont="1" applyFill="1"/>
    <xf numFmtId="10" fontId="19" fillId="3" borderId="0" xfId="1" applyNumberFormat="1" applyFont="1" applyFill="1"/>
    <xf numFmtId="0" fontId="21" fillId="0" borderId="4" xfId="0" applyFont="1" applyBorder="1" applyAlignment="1">
      <alignment horizontal="right"/>
    </xf>
    <xf numFmtId="0" fontId="22" fillId="0" borderId="4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4" fontId="10" fillId="0" borderId="0" xfId="0" applyNumberFormat="1" applyFont="1"/>
    <xf numFmtId="0" fontId="11" fillId="0" borderId="4" xfId="0" applyFont="1" applyBorder="1"/>
    <xf numFmtId="0" fontId="2" fillId="11" borderId="4" xfId="0" applyFont="1" applyFill="1" applyBorder="1"/>
    <xf numFmtId="0" fontId="13" fillId="11" borderId="4" xfId="0" applyFont="1" applyFill="1" applyBorder="1" applyAlignment="1">
      <alignment horizontal="center" vertical="center" wrapText="1"/>
    </xf>
    <xf numFmtId="0" fontId="24" fillId="16" borderId="0" xfId="0" applyFont="1" applyFill="1"/>
    <xf numFmtId="0" fontId="0" fillId="16" borderId="0" xfId="0" applyFill="1"/>
    <xf numFmtId="0" fontId="25" fillId="0" borderId="0" xfId="0" applyFont="1" applyAlignment="1">
      <alignment horizontal="left"/>
    </xf>
    <xf numFmtId="10" fontId="26" fillId="0" borderId="0" xfId="0" applyNumberFormat="1" applyFont="1"/>
    <xf numFmtId="0" fontId="25" fillId="0" borderId="0" xfId="0" applyFont="1"/>
    <xf numFmtId="10" fontId="25" fillId="0" borderId="0" xfId="0" applyNumberFormat="1" applyFont="1"/>
    <xf numFmtId="10" fontId="27" fillId="17" borderId="0" xfId="0" applyNumberFormat="1" applyFont="1" applyFill="1"/>
    <xf numFmtId="169" fontId="26" fillId="0" borderId="0" xfId="0" applyNumberFormat="1" applyFont="1"/>
    <xf numFmtId="0" fontId="0" fillId="0" borderId="0" xfId="0" applyAlignment="1">
      <alignment horizontal="left"/>
    </xf>
    <xf numFmtId="0" fontId="24" fillId="16" borderId="0" xfId="0" applyFont="1" applyFill="1" applyAlignment="1">
      <alignment horizontal="left"/>
    </xf>
    <xf numFmtId="0" fontId="24" fillId="0" borderId="0" xfId="0" applyFont="1"/>
    <xf numFmtId="169" fontId="25" fillId="0" borderId="0" xfId="0" applyNumberFormat="1" applyFont="1"/>
    <xf numFmtId="1" fontId="25" fillId="0" borderId="0" xfId="0" applyNumberFormat="1" applyFont="1"/>
    <xf numFmtId="170" fontId="25" fillId="0" borderId="0" xfId="0" applyNumberFormat="1" applyFont="1"/>
    <xf numFmtId="0" fontId="24" fillId="0" borderId="0" xfId="0" applyFont="1" applyAlignment="1">
      <alignment horizontal="left"/>
    </xf>
    <xf numFmtId="169" fontId="24" fillId="0" borderId="0" xfId="0" applyNumberFormat="1" applyFont="1"/>
    <xf numFmtId="0" fontId="24" fillId="17" borderId="0" xfId="0" applyFont="1" applyFill="1" applyAlignment="1">
      <alignment horizontal="left"/>
    </xf>
    <xf numFmtId="169" fontId="24" fillId="17" borderId="0" xfId="0" applyNumberFormat="1" applyFont="1" applyFill="1"/>
    <xf numFmtId="0" fontId="24" fillId="17" borderId="0" xfId="0" applyFont="1" applyFill="1"/>
    <xf numFmtId="10" fontId="24" fillId="0" borderId="0" xfId="0" applyNumberFormat="1" applyFont="1"/>
    <xf numFmtId="10" fontId="28" fillId="0" borderId="0" xfId="0" applyNumberFormat="1" applyFont="1"/>
    <xf numFmtId="3" fontId="25" fillId="0" borderId="0" xfId="0" applyNumberFormat="1" applyFont="1"/>
    <xf numFmtId="0" fontId="2" fillId="4" borderId="20" xfId="0" applyFont="1" applyFill="1" applyBorder="1" applyAlignment="1">
      <alignment horizontal="center"/>
    </xf>
    <xf numFmtId="0" fontId="0" fillId="0" borderId="0" xfId="0"/>
    <xf numFmtId="0" fontId="2" fillId="4" borderId="0" xfId="0" applyFont="1" applyFill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0" fillId="0" borderId="22" xfId="0" applyBorder="1"/>
    <xf numFmtId="0" fontId="3" fillId="0" borderId="29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3" fillId="0" borderId="4" xfId="0" applyFont="1" applyBorder="1" applyAlignment="1">
      <alignment horizontal="center"/>
    </xf>
    <xf numFmtId="0" fontId="0" fillId="0" borderId="26" xfId="0" applyBorder="1"/>
    <xf numFmtId="0" fontId="0" fillId="0" borderId="5" xfId="0" applyBorder="1"/>
    <xf numFmtId="0" fontId="4" fillId="4" borderId="2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4" xfId="0" applyBorder="1"/>
    <xf numFmtId="0" fontId="13" fillId="4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7" borderId="29" xfId="0" applyFill="1" applyBorder="1" applyAlignment="1">
      <alignment horizontal="center"/>
    </xf>
    <xf numFmtId="0" fontId="2" fillId="6" borderId="0" xfId="0" applyFont="1" applyFill="1" applyAlignment="1">
      <alignment horizontal="center" vertical="center"/>
    </xf>
    <xf numFmtId="4" fontId="4" fillId="4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 wrapText="1"/>
    </xf>
    <xf numFmtId="0" fontId="0" fillId="0" borderId="13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12" borderId="4" xfId="0" applyFill="1" applyBorder="1" applyAlignment="1">
      <alignment horizontal="center"/>
    </xf>
    <xf numFmtId="16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4"/>
  <sheetViews>
    <sheetView workbookViewId="0">
      <selection activeCell="H18" sqref="H18"/>
    </sheetView>
  </sheetViews>
  <sheetFormatPr defaultRowHeight="14.5" x14ac:dyDescent="0.35"/>
  <sheetData>
    <row r="1" spans="1:1" x14ac:dyDescent="0.35">
      <c r="A1" t="s">
        <v>41</v>
      </c>
    </row>
    <row r="3" spans="1:1" x14ac:dyDescent="0.35">
      <c r="A3" t="s">
        <v>42</v>
      </c>
    </row>
    <row r="4" spans="1:1" x14ac:dyDescent="0.35">
      <c r="A4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93"/>
  <sheetViews>
    <sheetView workbookViewId="0">
      <selection activeCell="A8" sqref="A8:A18"/>
    </sheetView>
  </sheetViews>
  <sheetFormatPr defaultRowHeight="14.5" x14ac:dyDescent="0.35"/>
  <cols>
    <col min="1" max="1" width="34.90625" bestFit="1" customWidth="1"/>
    <col min="2" max="6" width="8.08984375" bestFit="1" customWidth="1"/>
    <col min="7" max="7" width="9.36328125" customWidth="1"/>
  </cols>
  <sheetData>
    <row r="2" spans="1:7" x14ac:dyDescent="0.35">
      <c r="A2" s="1" t="s">
        <v>44</v>
      </c>
      <c r="B2" s="1">
        <v>201912</v>
      </c>
      <c r="C2" s="1">
        <v>202012</v>
      </c>
      <c r="D2" s="1">
        <v>202112</v>
      </c>
      <c r="E2" s="1">
        <v>202212</v>
      </c>
      <c r="F2" s="1">
        <v>202403</v>
      </c>
      <c r="G2" s="1">
        <v>202503</v>
      </c>
    </row>
    <row r="3" spans="1:7" x14ac:dyDescent="0.35">
      <c r="A3" s="3" t="s">
        <v>45</v>
      </c>
      <c r="B3" s="4">
        <v>12368.9</v>
      </c>
      <c r="C3" s="4">
        <v>13350.03</v>
      </c>
      <c r="D3" s="4">
        <v>14740.59</v>
      </c>
      <c r="E3" s="4">
        <v>16896.96</v>
      </c>
      <c r="F3" s="4">
        <v>24393.89</v>
      </c>
      <c r="G3" s="4">
        <v>20201.560000000001</v>
      </c>
    </row>
    <row r="4" spans="1:7" x14ac:dyDescent="0.35">
      <c r="A4" s="3" t="s">
        <v>46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</row>
    <row r="5" spans="1:7" x14ac:dyDescent="0.35">
      <c r="A5" s="3" t="s">
        <v>47</v>
      </c>
      <c r="B5" s="4">
        <v>12368.9</v>
      </c>
      <c r="C5" s="4">
        <v>13350.03</v>
      </c>
      <c r="D5" s="4">
        <v>14740.59</v>
      </c>
      <c r="E5" s="4">
        <v>16896.96</v>
      </c>
      <c r="F5" s="4">
        <v>24393.89</v>
      </c>
      <c r="G5" s="4">
        <v>20201.560000000001</v>
      </c>
    </row>
    <row r="6" spans="1:7" x14ac:dyDescent="0.35">
      <c r="A6" s="3" t="s">
        <v>48</v>
      </c>
      <c r="B6" s="3">
        <v>246.88</v>
      </c>
      <c r="C6" s="3">
        <v>145.85</v>
      </c>
      <c r="D6" s="3">
        <v>120.15</v>
      </c>
      <c r="E6" s="3">
        <v>101</v>
      </c>
      <c r="F6" s="3">
        <v>147.96</v>
      </c>
      <c r="G6" s="3">
        <v>58.86</v>
      </c>
    </row>
    <row r="7" spans="1:7" x14ac:dyDescent="0.35">
      <c r="A7" s="7" t="s">
        <v>49</v>
      </c>
      <c r="B7" s="4">
        <v>12615.78</v>
      </c>
      <c r="C7" s="4">
        <v>13495.88</v>
      </c>
      <c r="D7" s="4">
        <v>14860.74</v>
      </c>
      <c r="E7" s="4">
        <v>16997.96</v>
      </c>
      <c r="F7" s="4">
        <v>24541.85</v>
      </c>
      <c r="G7" s="4">
        <v>20260.419999999998</v>
      </c>
    </row>
    <row r="8" spans="1:7" x14ac:dyDescent="0.35">
      <c r="A8" s="3" t="s">
        <v>50</v>
      </c>
      <c r="B8" s="2"/>
      <c r="C8" s="2"/>
      <c r="D8" s="2"/>
      <c r="E8" s="2"/>
      <c r="F8" s="2"/>
      <c r="G8" s="2"/>
    </row>
    <row r="9" spans="1:7" x14ac:dyDescent="0.35">
      <c r="A9" s="3" t="s">
        <v>51</v>
      </c>
      <c r="B9" s="4">
        <v>5150.3</v>
      </c>
      <c r="C9" s="4">
        <v>5554.24</v>
      </c>
      <c r="D9" s="4">
        <v>6154.1</v>
      </c>
      <c r="E9" s="4">
        <v>7652.11</v>
      </c>
      <c r="F9" s="4">
        <v>10216.879999999999</v>
      </c>
      <c r="G9" s="4">
        <v>8390.15</v>
      </c>
    </row>
    <row r="10" spans="1:7" ht="26.5" customHeight="1" x14ac:dyDescent="0.35">
      <c r="A10" s="3" t="s">
        <v>52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35">
      <c r="A11" s="3" t="s">
        <v>53</v>
      </c>
      <c r="B11" s="3">
        <v>217.81</v>
      </c>
      <c r="C11" s="3">
        <v>189</v>
      </c>
      <c r="D11" s="3">
        <v>261.67</v>
      </c>
      <c r="E11" s="3">
        <v>348.02</v>
      </c>
      <c r="F11" s="3">
        <v>537.37</v>
      </c>
      <c r="G11" s="3">
        <v>499.31</v>
      </c>
    </row>
    <row r="12" spans="1:7" ht="26.5" customHeight="1" x14ac:dyDescent="0.35">
      <c r="A12" s="3" t="s">
        <v>54</v>
      </c>
      <c r="B12" s="3">
        <v>-144.19</v>
      </c>
      <c r="C12" s="3">
        <v>-69.33</v>
      </c>
      <c r="D12" s="3">
        <v>-67.59</v>
      </c>
      <c r="E12" s="3">
        <v>-250.27</v>
      </c>
      <c r="F12" s="3">
        <v>-45.68</v>
      </c>
      <c r="G12" s="3">
        <v>-139.66</v>
      </c>
    </row>
    <row r="13" spans="1:7" ht="26.5" customHeight="1" x14ac:dyDescent="0.35">
      <c r="A13" s="3" t="s">
        <v>55</v>
      </c>
      <c r="B13" s="4">
        <v>1258.17</v>
      </c>
      <c r="C13" s="4">
        <v>1500.95</v>
      </c>
      <c r="D13" s="4">
        <v>1529.94</v>
      </c>
      <c r="E13" s="4">
        <v>1635.46</v>
      </c>
      <c r="F13" s="4">
        <v>2336.06</v>
      </c>
      <c r="G13" s="4">
        <v>2023.71</v>
      </c>
    </row>
    <row r="14" spans="1:7" x14ac:dyDescent="0.35">
      <c r="A14" s="3" t="s">
        <v>56</v>
      </c>
      <c r="B14" s="3">
        <v>129.12</v>
      </c>
      <c r="C14" s="3">
        <v>164.18</v>
      </c>
      <c r="D14" s="3">
        <v>201.68</v>
      </c>
      <c r="E14" s="3">
        <v>154.57</v>
      </c>
      <c r="F14" s="3">
        <v>145.49</v>
      </c>
      <c r="G14" s="3">
        <v>136</v>
      </c>
    </row>
    <row r="15" spans="1:7" x14ac:dyDescent="0.35">
      <c r="A15" s="3" t="s">
        <v>57</v>
      </c>
      <c r="B15" s="3">
        <v>370.15</v>
      </c>
      <c r="C15" s="3">
        <v>370.38</v>
      </c>
      <c r="D15" s="3">
        <v>391.02</v>
      </c>
      <c r="E15" s="3">
        <v>403.01</v>
      </c>
      <c r="F15" s="3">
        <v>567.75</v>
      </c>
      <c r="G15" s="3">
        <v>539.91999999999996</v>
      </c>
    </row>
    <row r="16" spans="1:7" x14ac:dyDescent="0.35">
      <c r="A16" s="3" t="s">
        <v>58</v>
      </c>
      <c r="B16" s="4">
        <v>2960.93</v>
      </c>
      <c r="C16" s="4">
        <v>2973.67</v>
      </c>
      <c r="D16" s="4">
        <v>3296.1</v>
      </c>
      <c r="E16" s="4">
        <v>3799.09</v>
      </c>
      <c r="F16" s="4">
        <v>5499.48</v>
      </c>
      <c r="G16" s="4">
        <v>4654.34</v>
      </c>
    </row>
    <row r="17" spans="1:7" x14ac:dyDescent="0.35">
      <c r="A17" s="7" t="s">
        <v>59</v>
      </c>
      <c r="B17" s="4">
        <v>9942.2900000000009</v>
      </c>
      <c r="C17" s="4">
        <v>10683.09</v>
      </c>
      <c r="D17" s="4">
        <v>11766.92</v>
      </c>
      <c r="E17" s="4">
        <v>13741.99</v>
      </c>
      <c r="F17" s="4">
        <v>19257.349999999999</v>
      </c>
      <c r="G17" s="4">
        <v>16103.77</v>
      </c>
    </row>
    <row r="18" spans="1:7" x14ac:dyDescent="0.35">
      <c r="A18" s="3" t="s">
        <v>60</v>
      </c>
      <c r="B18" s="4">
        <v>2673.49</v>
      </c>
      <c r="C18" s="4">
        <v>2812.79</v>
      </c>
      <c r="D18" s="4">
        <v>3093.82</v>
      </c>
      <c r="E18" s="4">
        <v>3255.97</v>
      </c>
      <c r="F18" s="4">
        <v>5284.5</v>
      </c>
      <c r="G18" s="4">
        <v>4156.6499999999996</v>
      </c>
    </row>
    <row r="19" spans="1:7" x14ac:dyDescent="0.35">
      <c r="A19" s="3" t="s">
        <v>61</v>
      </c>
      <c r="B19" s="3">
        <v>0</v>
      </c>
      <c r="C19" s="3">
        <v>0</v>
      </c>
      <c r="D19" s="3">
        <v>-236.5</v>
      </c>
      <c r="E19" s="3">
        <v>0</v>
      </c>
      <c r="F19" s="3">
        <v>4.37</v>
      </c>
      <c r="G19" s="3">
        <v>290.82</v>
      </c>
    </row>
    <row r="20" spans="1:7" x14ac:dyDescent="0.35">
      <c r="A20" s="3" t="s">
        <v>62</v>
      </c>
      <c r="B20" s="4">
        <v>2673.49</v>
      </c>
      <c r="C20" s="4">
        <v>2812.79</v>
      </c>
      <c r="D20" s="4">
        <v>2857.32</v>
      </c>
      <c r="E20" s="4">
        <v>3255.97</v>
      </c>
      <c r="F20" s="4">
        <v>5288.87</v>
      </c>
      <c r="G20" s="4">
        <v>4447.47</v>
      </c>
    </row>
    <row r="21" spans="1:7" x14ac:dyDescent="0.35">
      <c r="A21" s="3" t="s">
        <v>63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</row>
    <row r="22" spans="1:7" x14ac:dyDescent="0.35">
      <c r="A22" s="3" t="s">
        <v>64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</row>
    <row r="23" spans="1:7" x14ac:dyDescent="0.35">
      <c r="A23" s="3" t="s">
        <v>65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</row>
    <row r="24" spans="1:7" x14ac:dyDescent="0.35">
      <c r="A24" s="3" t="s">
        <v>66</v>
      </c>
      <c r="B24" s="4">
        <v>2673.49</v>
      </c>
      <c r="C24" s="4">
        <v>2812.79</v>
      </c>
      <c r="D24" s="4">
        <v>2857.32</v>
      </c>
      <c r="E24" s="4">
        <v>3255.97</v>
      </c>
      <c r="F24" s="4">
        <v>5288.87</v>
      </c>
      <c r="G24" s="4">
        <v>4447.47</v>
      </c>
    </row>
    <row r="25" spans="1:7" x14ac:dyDescent="0.35">
      <c r="A25" s="7" t="s">
        <v>67</v>
      </c>
      <c r="B25" s="3">
        <v>705.05</v>
      </c>
      <c r="C25" s="3">
        <v>730.36</v>
      </c>
      <c r="D25" s="3">
        <v>738.91</v>
      </c>
      <c r="E25" s="3">
        <v>865.45</v>
      </c>
      <c r="F25" s="4">
        <v>1356.03</v>
      </c>
      <c r="G25" s="4">
        <v>1132.97</v>
      </c>
    </row>
    <row r="26" spans="1:7" x14ac:dyDescent="0.35">
      <c r="A26" s="3" t="s">
        <v>68</v>
      </c>
      <c r="B26" s="3">
        <v>747</v>
      </c>
      <c r="C26" s="3">
        <v>763.42</v>
      </c>
      <c r="D26" s="3">
        <v>744.39</v>
      </c>
      <c r="E26" s="3">
        <v>868.61</v>
      </c>
      <c r="F26" s="4">
        <v>1315.68</v>
      </c>
      <c r="G26" s="4">
        <v>1095.18</v>
      </c>
    </row>
    <row r="27" spans="1:7" x14ac:dyDescent="0.35">
      <c r="A27" s="3" t="s">
        <v>69</v>
      </c>
      <c r="B27" s="3">
        <v>-41.95</v>
      </c>
      <c r="C27" s="3">
        <v>-33.06</v>
      </c>
      <c r="D27" s="3">
        <v>-5.48</v>
      </c>
      <c r="E27" s="3">
        <v>-3.16</v>
      </c>
      <c r="F27" s="3">
        <v>40.35</v>
      </c>
      <c r="G27" s="3">
        <v>37.79</v>
      </c>
    </row>
    <row r="28" spans="1:7" x14ac:dyDescent="0.35">
      <c r="A28" s="3" t="s">
        <v>70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</row>
    <row r="29" spans="1:7" x14ac:dyDescent="0.35">
      <c r="A29" s="3" t="s">
        <v>71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</row>
    <row r="30" spans="1:7" x14ac:dyDescent="0.35">
      <c r="A30" s="3" t="s">
        <v>72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</row>
    <row r="31" spans="1:7" x14ac:dyDescent="0.35">
      <c r="A31" s="3" t="s">
        <v>73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</row>
    <row r="32" spans="1:7" x14ac:dyDescent="0.35">
      <c r="A32" s="3" t="s">
        <v>74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</row>
    <row r="33" spans="1:7" x14ac:dyDescent="0.35">
      <c r="A33" s="3" t="s">
        <v>75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</row>
    <row r="34" spans="1:7" x14ac:dyDescent="0.35">
      <c r="A34" s="3" t="s">
        <v>76</v>
      </c>
      <c r="B34" s="4">
        <v>1968.44</v>
      </c>
      <c r="C34" s="4">
        <v>2082.4299999999998</v>
      </c>
      <c r="D34" s="4">
        <v>2118.41</v>
      </c>
      <c r="E34" s="4">
        <v>2390.52</v>
      </c>
      <c r="F34" s="4">
        <v>3932.84</v>
      </c>
      <c r="G34" s="4">
        <v>3314.5</v>
      </c>
    </row>
    <row r="35" spans="1:7" x14ac:dyDescent="0.35">
      <c r="A35" s="3" t="s">
        <v>77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</row>
    <row r="36" spans="1:7" x14ac:dyDescent="0.35">
      <c r="A36" s="3" t="s">
        <v>78</v>
      </c>
      <c r="B36" s="4">
        <v>1968.44</v>
      </c>
      <c r="C36" s="4">
        <v>2082.4299999999998</v>
      </c>
      <c r="D36" s="4">
        <v>2118.41</v>
      </c>
      <c r="E36" s="4">
        <v>2390.52</v>
      </c>
      <c r="F36" s="4">
        <v>3932.84</v>
      </c>
      <c r="G36" s="4">
        <v>3314.5</v>
      </c>
    </row>
    <row r="37" spans="1:7" x14ac:dyDescent="0.35">
      <c r="A37" s="3" t="s">
        <v>79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</row>
    <row r="38" spans="1:7" ht="26.5" customHeight="1" x14ac:dyDescent="0.35">
      <c r="A38" s="3" t="s">
        <v>80</v>
      </c>
      <c r="B38" s="4">
        <v>1968.44</v>
      </c>
      <c r="C38" s="4">
        <v>2082.4299999999998</v>
      </c>
      <c r="D38" s="4">
        <v>2118.41</v>
      </c>
      <c r="E38" s="4">
        <v>2390.52</v>
      </c>
      <c r="F38" s="4">
        <v>3932.84</v>
      </c>
      <c r="G38" s="4">
        <v>3314.5</v>
      </c>
    </row>
    <row r="39" spans="1:7" x14ac:dyDescent="0.35">
      <c r="A39" s="3" t="s">
        <v>81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</row>
    <row r="40" spans="1:7" x14ac:dyDescent="0.35">
      <c r="A40" s="3" t="s">
        <v>82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</row>
    <row r="41" spans="1:7" x14ac:dyDescent="0.35">
      <c r="A41" s="3" t="s">
        <v>83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</row>
    <row r="42" spans="1:7" x14ac:dyDescent="0.35">
      <c r="A42" s="3" t="s">
        <v>84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</row>
    <row r="43" spans="1:7" x14ac:dyDescent="0.35">
      <c r="A43" s="3" t="s">
        <v>85</v>
      </c>
      <c r="B43" s="4">
        <v>1968.44</v>
      </c>
      <c r="C43" s="4">
        <v>2082.4299999999998</v>
      </c>
      <c r="D43" s="4">
        <v>2118.41</v>
      </c>
      <c r="E43" s="4">
        <v>2390.52</v>
      </c>
      <c r="F43" s="4">
        <v>3932.84</v>
      </c>
      <c r="G43" s="4">
        <v>3314.5</v>
      </c>
    </row>
    <row r="44" spans="1:7" x14ac:dyDescent="0.35">
      <c r="A44" s="3" t="s">
        <v>86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</row>
    <row r="45" spans="1:7" x14ac:dyDescent="0.35">
      <c r="A45" s="3" t="s">
        <v>87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</row>
    <row r="46" spans="1:7" x14ac:dyDescent="0.35">
      <c r="A46" s="3" t="s">
        <v>88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</row>
    <row r="47" spans="1:7" x14ac:dyDescent="0.35">
      <c r="A47" s="3" t="s">
        <v>89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</row>
    <row r="48" spans="1:7" x14ac:dyDescent="0.35">
      <c r="A48" s="3" t="s">
        <v>90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</row>
    <row r="49" spans="1:7" x14ac:dyDescent="0.35">
      <c r="A49" s="3" t="s">
        <v>91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</row>
    <row r="50" spans="1:7" x14ac:dyDescent="0.35">
      <c r="A50" s="3" t="s">
        <v>92</v>
      </c>
      <c r="B50" s="4">
        <v>1968.44</v>
      </c>
      <c r="C50" s="4">
        <v>2082.4299999999998</v>
      </c>
      <c r="D50" s="4">
        <v>2118.41</v>
      </c>
      <c r="E50" s="4">
        <v>2390.52</v>
      </c>
      <c r="F50" s="4">
        <v>3932.84</v>
      </c>
      <c r="G50" s="4">
        <v>3314.5</v>
      </c>
    </row>
    <row r="51" spans="1:7" x14ac:dyDescent="0.35">
      <c r="A51" s="3" t="s">
        <v>93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</row>
    <row r="52" spans="1:7" x14ac:dyDescent="0.35">
      <c r="A52" s="3" t="s">
        <v>94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</row>
    <row r="53" spans="1:7" x14ac:dyDescent="0.35">
      <c r="A53" s="3" t="s">
        <v>95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</row>
    <row r="54" spans="1:7" x14ac:dyDescent="0.35">
      <c r="A54" s="3" t="s">
        <v>96</v>
      </c>
      <c r="B54" s="4">
        <v>1968.44</v>
      </c>
      <c r="C54" s="4">
        <v>2082.4299999999998</v>
      </c>
      <c r="D54" s="4">
        <v>2118.41</v>
      </c>
      <c r="E54" s="4">
        <v>2390.52</v>
      </c>
      <c r="F54" s="4">
        <v>3932.84</v>
      </c>
      <c r="G54" s="4">
        <v>3314.5</v>
      </c>
    </row>
    <row r="55" spans="1:7" x14ac:dyDescent="0.35">
      <c r="A55" s="7" t="s">
        <v>97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</row>
    <row r="56" spans="1:7" x14ac:dyDescent="0.35">
      <c r="A56" s="6" t="s">
        <v>98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35">
      <c r="A57" s="3" t="s">
        <v>99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35">
      <c r="A58" s="3" t="s">
        <v>100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35">
      <c r="A59" s="3" t="s">
        <v>101</v>
      </c>
      <c r="B59" s="4">
        <v>1968.44</v>
      </c>
      <c r="C59" s="4">
        <v>2082.4299999999998</v>
      </c>
      <c r="D59" s="4">
        <v>2118.41</v>
      </c>
      <c r="E59" s="4">
        <v>2390.52</v>
      </c>
      <c r="F59" s="4">
        <v>3932.84</v>
      </c>
      <c r="G59" s="4">
        <v>3314.5</v>
      </c>
    </row>
    <row r="60" spans="1:7" x14ac:dyDescent="0.35">
      <c r="A60" s="3" t="s">
        <v>102</v>
      </c>
      <c r="B60" s="2"/>
      <c r="C60" s="2"/>
      <c r="D60" s="2"/>
      <c r="E60" s="2"/>
      <c r="F60" s="2"/>
      <c r="G60" s="2"/>
    </row>
    <row r="61" spans="1:7" ht="26.5" customHeight="1" x14ac:dyDescent="0.35">
      <c r="A61" s="3" t="s">
        <v>103</v>
      </c>
      <c r="B61" s="3">
        <v>-154.34</v>
      </c>
      <c r="C61" s="3">
        <v>-92.53</v>
      </c>
      <c r="D61" s="3">
        <v>-151.56</v>
      </c>
      <c r="E61" s="3">
        <v>112.15</v>
      </c>
      <c r="F61" s="3">
        <v>-42.9</v>
      </c>
      <c r="G61" s="3">
        <v>-80.569999999999993</v>
      </c>
    </row>
    <row r="62" spans="1:7" ht="26.5" customHeight="1" x14ac:dyDescent="0.35">
      <c r="A62" s="3" t="s">
        <v>104</v>
      </c>
      <c r="B62" s="3">
        <v>-0.43</v>
      </c>
      <c r="C62" s="3">
        <v>0.32</v>
      </c>
      <c r="D62" s="3">
        <v>0.15</v>
      </c>
      <c r="E62" s="3">
        <v>-0.21</v>
      </c>
      <c r="F62" s="3">
        <v>-0.04</v>
      </c>
      <c r="G62" s="3">
        <v>0.93</v>
      </c>
    </row>
    <row r="63" spans="1:7" ht="26.5" customHeight="1" x14ac:dyDescent="0.35">
      <c r="A63" s="3" t="s">
        <v>105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35">
      <c r="A64" s="3" t="s">
        <v>106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35">
      <c r="A65" s="3" t="s">
        <v>107</v>
      </c>
      <c r="B65" s="4">
        <v>1813.67</v>
      </c>
      <c r="C65" s="4">
        <v>1990.22</v>
      </c>
      <c r="D65" s="4">
        <v>1967</v>
      </c>
      <c r="E65" s="4">
        <v>2502.46</v>
      </c>
      <c r="F65" s="4">
        <v>3889.9</v>
      </c>
      <c r="G65" s="4">
        <v>3234.86</v>
      </c>
    </row>
    <row r="66" spans="1:7" x14ac:dyDescent="0.35">
      <c r="A66" s="3" t="s">
        <v>108</v>
      </c>
      <c r="B66" s="3">
        <v>204.16</v>
      </c>
      <c r="C66" s="3">
        <v>215.98</v>
      </c>
      <c r="D66" s="3">
        <v>219.72</v>
      </c>
      <c r="E66" s="3">
        <v>247.9</v>
      </c>
      <c r="F66" s="3">
        <v>40.79</v>
      </c>
      <c r="G66" s="3">
        <v>34.380000000000003</v>
      </c>
    </row>
    <row r="67" spans="1:7" x14ac:dyDescent="0.35">
      <c r="A67" s="3" t="s">
        <v>109</v>
      </c>
      <c r="B67" s="3">
        <v>204.16</v>
      </c>
      <c r="C67" s="3">
        <v>215.98</v>
      </c>
      <c r="D67" s="3">
        <v>219.72</v>
      </c>
      <c r="E67" s="3">
        <v>247.9</v>
      </c>
      <c r="F67" s="3">
        <v>40.79</v>
      </c>
      <c r="G67" s="3">
        <v>34.380000000000003</v>
      </c>
    </row>
    <row r="68" spans="1:7" x14ac:dyDescent="0.35">
      <c r="A68" s="3" t="s">
        <v>110</v>
      </c>
      <c r="B68" s="2"/>
      <c r="C68" s="2"/>
      <c r="D68" s="2"/>
      <c r="E68" s="2"/>
      <c r="F68" s="2"/>
      <c r="G68" s="2"/>
    </row>
    <row r="69" spans="1:7" x14ac:dyDescent="0.35">
      <c r="A69" s="3" t="s">
        <v>111</v>
      </c>
      <c r="B69" s="3">
        <v>101</v>
      </c>
      <c r="C69" s="3">
        <v>135</v>
      </c>
      <c r="D69" s="3">
        <v>135</v>
      </c>
      <c r="E69" s="3">
        <v>145</v>
      </c>
      <c r="F69" s="3">
        <v>23.7</v>
      </c>
      <c r="G69" s="3">
        <v>17</v>
      </c>
    </row>
    <row r="70" spans="1:7" x14ac:dyDescent="0.35">
      <c r="A70" s="3" t="s">
        <v>112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35">
      <c r="A71" s="3" t="s">
        <v>113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35">
      <c r="A72" s="3" t="s">
        <v>114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35">
      <c r="A73" s="3" t="s">
        <v>115</v>
      </c>
      <c r="B73" s="3">
        <v>180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35">
      <c r="A74" s="3" t="s">
        <v>116</v>
      </c>
      <c r="B74" s="3">
        <v>61</v>
      </c>
      <c r="C74" s="3">
        <v>65</v>
      </c>
      <c r="D74" s="3">
        <v>65</v>
      </c>
      <c r="E74" s="3">
        <v>75</v>
      </c>
      <c r="F74" s="3">
        <v>8.5</v>
      </c>
      <c r="G74" s="3">
        <v>10</v>
      </c>
    </row>
    <row r="75" spans="1:7" x14ac:dyDescent="0.35">
      <c r="A75" s="3" t="s">
        <v>117</v>
      </c>
      <c r="B75" s="3">
        <v>342</v>
      </c>
      <c r="C75" s="3">
        <v>200</v>
      </c>
      <c r="D75" s="3">
        <v>200</v>
      </c>
      <c r="E75" s="3">
        <v>220</v>
      </c>
      <c r="F75" s="3">
        <v>32.200000000000003</v>
      </c>
      <c r="G75" s="3">
        <v>27</v>
      </c>
    </row>
    <row r="76" spans="1:7" x14ac:dyDescent="0.35">
      <c r="A76" s="3" t="s">
        <v>118</v>
      </c>
      <c r="B76" s="2"/>
      <c r="C76" s="2"/>
      <c r="D76" s="2"/>
      <c r="E76" s="2"/>
      <c r="F76" s="2"/>
      <c r="G76" s="2"/>
    </row>
    <row r="77" spans="1:7" x14ac:dyDescent="0.35">
      <c r="A77" s="3" t="s">
        <v>111</v>
      </c>
      <c r="B77" s="4">
        <v>1010</v>
      </c>
      <c r="C77" s="4">
        <v>1350</v>
      </c>
      <c r="D77" s="4">
        <v>1350</v>
      </c>
      <c r="E77" s="4">
        <v>1450</v>
      </c>
      <c r="F77" s="4">
        <v>2370</v>
      </c>
      <c r="G77" s="4">
        <v>1700</v>
      </c>
    </row>
    <row r="78" spans="1:7" x14ac:dyDescent="0.35">
      <c r="A78" s="3" t="s">
        <v>112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35">
      <c r="A79" s="3" t="s">
        <v>113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35">
      <c r="A80" s="3" t="s">
        <v>114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35">
      <c r="A81" s="3" t="s">
        <v>115</v>
      </c>
      <c r="B81" s="4">
        <v>1800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35">
      <c r="A82" s="3" t="s">
        <v>116</v>
      </c>
      <c r="B82" s="3">
        <v>610</v>
      </c>
      <c r="C82" s="3">
        <v>650</v>
      </c>
      <c r="D82" s="3">
        <v>650</v>
      </c>
      <c r="E82" s="3">
        <v>750</v>
      </c>
      <c r="F82" s="3">
        <v>850</v>
      </c>
      <c r="G82" s="4">
        <v>1000</v>
      </c>
    </row>
    <row r="83" spans="1:7" x14ac:dyDescent="0.35">
      <c r="A83" s="3" t="s">
        <v>119</v>
      </c>
      <c r="B83" s="4">
        <v>3420</v>
      </c>
      <c r="C83" s="4">
        <v>2000</v>
      </c>
      <c r="D83" s="4">
        <v>2000</v>
      </c>
      <c r="E83" s="4">
        <v>2200</v>
      </c>
      <c r="F83" s="4">
        <v>3220</v>
      </c>
      <c r="G83" s="4">
        <v>2700</v>
      </c>
    </row>
    <row r="84" spans="1:7" x14ac:dyDescent="0.35">
      <c r="A84" s="3" t="s">
        <v>120</v>
      </c>
      <c r="B84" s="4">
        <v>3297.42</v>
      </c>
      <c r="C84" s="4">
        <v>1928.31</v>
      </c>
      <c r="D84" s="4">
        <v>1928.31</v>
      </c>
      <c r="E84" s="4">
        <v>2121.15</v>
      </c>
      <c r="F84" s="4">
        <v>3104.59</v>
      </c>
      <c r="G84" s="4">
        <v>2603.23</v>
      </c>
    </row>
    <row r="85" spans="1:7" x14ac:dyDescent="0.35">
      <c r="A85" s="3" t="s">
        <v>90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ht="26.5" customHeight="1" x14ac:dyDescent="0.35">
      <c r="A86" s="3" t="s">
        <v>121</v>
      </c>
      <c r="B86" s="3">
        <v>9.64</v>
      </c>
      <c r="C86" s="3">
        <v>9.64</v>
      </c>
      <c r="D86" s="3">
        <v>9.64</v>
      </c>
      <c r="E86" s="3">
        <v>9.64</v>
      </c>
      <c r="F86" s="3">
        <v>96.42</v>
      </c>
      <c r="G86" s="3">
        <v>96.42</v>
      </c>
    </row>
    <row r="87" spans="1:7" ht="26.5" customHeight="1" x14ac:dyDescent="0.35">
      <c r="A87" s="3" t="s">
        <v>122</v>
      </c>
      <c r="B87" s="3">
        <v>9.64</v>
      </c>
      <c r="C87" s="3">
        <v>9.64</v>
      </c>
      <c r="D87" s="3">
        <v>9.64</v>
      </c>
      <c r="E87" s="3">
        <v>9.64</v>
      </c>
      <c r="F87" s="3">
        <v>96.42</v>
      </c>
      <c r="G87" s="3">
        <v>96.42</v>
      </c>
    </row>
    <row r="88" spans="1:7" x14ac:dyDescent="0.35">
      <c r="A88" s="3" t="s">
        <v>123</v>
      </c>
      <c r="B88" s="3">
        <v>973.8</v>
      </c>
      <c r="C88" s="4">
        <v>1301.6099999999999</v>
      </c>
      <c r="D88" s="4">
        <v>1301.6099999999999</v>
      </c>
      <c r="E88" s="4">
        <v>1398.03</v>
      </c>
      <c r="F88" s="4">
        <v>2285.06</v>
      </c>
      <c r="G88" s="4">
        <v>1639.07</v>
      </c>
    </row>
    <row r="89" spans="1:7" x14ac:dyDescent="0.35">
      <c r="A89" s="3" t="s">
        <v>124</v>
      </c>
      <c r="B89" s="3">
        <v>588.14</v>
      </c>
      <c r="C89" s="3">
        <v>626.70000000000005</v>
      </c>
      <c r="D89" s="3">
        <v>626.70000000000005</v>
      </c>
      <c r="E89" s="3">
        <v>723.12</v>
      </c>
      <c r="F89" s="3">
        <v>819.53</v>
      </c>
      <c r="G89" s="3">
        <v>964.16</v>
      </c>
    </row>
    <row r="90" spans="1:7" x14ac:dyDescent="0.35">
      <c r="A90" s="3" t="s">
        <v>125</v>
      </c>
      <c r="B90" s="4">
        <v>1735.48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35">
      <c r="A91" s="3" t="s">
        <v>126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35">
      <c r="A92" s="3" t="s">
        <v>127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35">
      <c r="A93" s="3"/>
      <c r="B93" s="5"/>
      <c r="C93" s="5"/>
      <c r="D93" s="5"/>
      <c r="E93" s="5"/>
      <c r="F93" s="5"/>
      <c r="G9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G119"/>
  <sheetViews>
    <sheetView workbookViewId="0">
      <selection activeCell="A49" sqref="A49"/>
    </sheetView>
  </sheetViews>
  <sheetFormatPr defaultRowHeight="14.5" x14ac:dyDescent="0.35"/>
  <cols>
    <col min="1" max="1" width="34.90625" bestFit="1" customWidth="1"/>
    <col min="2" max="2" width="8.08984375" bestFit="1" customWidth="1"/>
    <col min="3" max="5" width="7.1796875" bestFit="1" customWidth="1"/>
    <col min="6" max="6" width="8.08984375" bestFit="1" customWidth="1"/>
    <col min="7" max="7" width="9.08984375" customWidth="1"/>
  </cols>
  <sheetData>
    <row r="2" spans="1:7" x14ac:dyDescent="0.35">
      <c r="A2" s="1" t="s">
        <v>44</v>
      </c>
      <c r="B2" s="1">
        <v>2019</v>
      </c>
      <c r="C2" s="1">
        <v>2020</v>
      </c>
      <c r="D2" s="1">
        <v>2021</v>
      </c>
      <c r="E2" s="1">
        <v>2022</v>
      </c>
      <c r="F2" s="1">
        <v>2024</v>
      </c>
      <c r="G2" s="1">
        <v>2025</v>
      </c>
    </row>
    <row r="3" spans="1:7" x14ac:dyDescent="0.35">
      <c r="A3" s="6" t="s">
        <v>128</v>
      </c>
      <c r="B3" s="2"/>
      <c r="C3" s="2"/>
      <c r="D3" s="2"/>
      <c r="E3" s="2"/>
      <c r="F3" s="2"/>
      <c r="G3" s="2"/>
    </row>
    <row r="4" spans="1:7" x14ac:dyDescent="0.35">
      <c r="A4" s="6" t="s">
        <v>129</v>
      </c>
      <c r="B4" s="2"/>
      <c r="C4" s="2"/>
      <c r="D4" s="2"/>
      <c r="E4" s="2"/>
      <c r="F4" s="2"/>
      <c r="G4" s="2"/>
    </row>
    <row r="5" spans="1:7" x14ac:dyDescent="0.35">
      <c r="A5" s="3" t="s">
        <v>130</v>
      </c>
      <c r="B5" s="4">
        <v>2484.6999999999998</v>
      </c>
      <c r="C5" s="4">
        <v>2817.99</v>
      </c>
      <c r="D5" s="4">
        <v>3240.9</v>
      </c>
      <c r="E5" s="4">
        <v>3402.06</v>
      </c>
      <c r="F5" s="4">
        <v>5201.96</v>
      </c>
      <c r="G5" s="4">
        <v>6646.17</v>
      </c>
    </row>
    <row r="6" spans="1:7" x14ac:dyDescent="0.35">
      <c r="A6" s="3" t="s">
        <v>131</v>
      </c>
      <c r="B6" s="4">
        <v>2108.81</v>
      </c>
      <c r="C6" s="4">
        <v>1968</v>
      </c>
      <c r="D6" s="4">
        <v>2652.99</v>
      </c>
      <c r="E6" s="4">
        <v>2705.81</v>
      </c>
      <c r="F6" s="4">
        <v>3055.67</v>
      </c>
      <c r="G6" s="4">
        <v>4925.6499999999996</v>
      </c>
    </row>
    <row r="7" spans="1:7" x14ac:dyDescent="0.35">
      <c r="A7" s="3" t="s">
        <v>132</v>
      </c>
      <c r="B7" s="3">
        <v>143.30000000000001</v>
      </c>
      <c r="C7" s="3">
        <v>638.58000000000004</v>
      </c>
      <c r="D7" s="3">
        <v>246.23</v>
      </c>
      <c r="E7" s="3">
        <v>358.36</v>
      </c>
      <c r="F7" s="4">
        <v>1741.71</v>
      </c>
      <c r="G7" s="4">
        <v>1172.56</v>
      </c>
    </row>
    <row r="8" spans="1:7" x14ac:dyDescent="0.35">
      <c r="A8" s="3" t="s">
        <v>133</v>
      </c>
      <c r="B8" s="3">
        <v>232.64</v>
      </c>
      <c r="C8" s="3">
        <v>211.41</v>
      </c>
      <c r="D8" s="3">
        <v>341.68</v>
      </c>
      <c r="E8" s="3">
        <v>337.89</v>
      </c>
      <c r="F8" s="3">
        <v>404.58</v>
      </c>
      <c r="G8" s="3">
        <v>547.96</v>
      </c>
    </row>
    <row r="9" spans="1:7" x14ac:dyDescent="0.35">
      <c r="A9" s="3" t="s">
        <v>134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</row>
    <row r="10" spans="1:7" x14ac:dyDescent="0.35">
      <c r="A10" s="3" t="s">
        <v>135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</row>
    <row r="11" spans="1:7" x14ac:dyDescent="0.35">
      <c r="A11" s="3" t="s">
        <v>136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</row>
    <row r="12" spans="1:7" x14ac:dyDescent="0.35">
      <c r="A12" s="3" t="s">
        <v>137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</row>
    <row r="13" spans="1:7" x14ac:dyDescent="0.35">
      <c r="A13" s="3" t="s">
        <v>138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</row>
    <row r="14" spans="1:7" x14ac:dyDescent="0.35">
      <c r="A14" s="3" t="s">
        <v>139</v>
      </c>
      <c r="B14" s="2"/>
      <c r="C14" s="2"/>
      <c r="D14" s="2"/>
      <c r="E14" s="2"/>
      <c r="F14" s="2"/>
      <c r="G14" s="2"/>
    </row>
    <row r="15" spans="1:7" x14ac:dyDescent="0.35">
      <c r="A15" s="3" t="s">
        <v>140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</row>
    <row r="16" spans="1:7" ht="26.5" customHeight="1" x14ac:dyDescent="0.35">
      <c r="A16" s="3" t="s">
        <v>141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705.6</v>
      </c>
    </row>
    <row r="17" spans="1:7" x14ac:dyDescent="0.35">
      <c r="A17" s="3" t="s">
        <v>142</v>
      </c>
      <c r="B17" s="2"/>
      <c r="C17" s="2"/>
      <c r="D17" s="2"/>
      <c r="E17" s="2"/>
      <c r="F17" s="2"/>
      <c r="G17" s="2"/>
    </row>
    <row r="18" spans="1:7" x14ac:dyDescent="0.35">
      <c r="A18" s="3" t="s">
        <v>143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</row>
    <row r="19" spans="1:7" x14ac:dyDescent="0.35">
      <c r="A19" s="3" t="s">
        <v>144</v>
      </c>
      <c r="B19" s="3">
        <v>743.6</v>
      </c>
      <c r="C19" s="3">
        <v>740.83</v>
      </c>
      <c r="D19" s="3">
        <v>710.7</v>
      </c>
      <c r="E19" s="3">
        <v>560.19000000000005</v>
      </c>
      <c r="F19" s="3">
        <v>423.89</v>
      </c>
      <c r="G19" s="3">
        <v>0</v>
      </c>
    </row>
    <row r="20" spans="1:7" x14ac:dyDescent="0.35">
      <c r="A20" s="3" t="s">
        <v>145</v>
      </c>
      <c r="B20" s="3">
        <v>46.98</v>
      </c>
      <c r="C20" s="3">
        <v>46.55</v>
      </c>
      <c r="D20" s="3">
        <v>7.27</v>
      </c>
      <c r="E20" s="3">
        <v>9</v>
      </c>
      <c r="F20" s="3">
        <v>8.01</v>
      </c>
      <c r="G20" s="3">
        <v>8.09</v>
      </c>
    </row>
    <row r="21" spans="1:7" x14ac:dyDescent="0.35">
      <c r="A21" s="3" t="s">
        <v>146</v>
      </c>
      <c r="B21" s="3">
        <v>0</v>
      </c>
      <c r="C21" s="3">
        <v>0</v>
      </c>
      <c r="D21" s="3">
        <v>41.9</v>
      </c>
      <c r="E21" s="3">
        <v>46.83</v>
      </c>
      <c r="F21" s="3">
        <v>56.51</v>
      </c>
      <c r="G21" s="3">
        <v>55.4</v>
      </c>
    </row>
    <row r="22" spans="1:7" x14ac:dyDescent="0.35">
      <c r="A22" s="3" t="s">
        <v>147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</row>
    <row r="23" spans="1:7" x14ac:dyDescent="0.35">
      <c r="A23" s="2"/>
      <c r="B23" s="2"/>
      <c r="C23" s="2"/>
      <c r="D23" s="2"/>
      <c r="E23" s="2"/>
      <c r="F23" s="2"/>
      <c r="G23" s="2"/>
    </row>
    <row r="24" spans="1:7" x14ac:dyDescent="0.35">
      <c r="A24" s="3" t="s">
        <v>148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</row>
    <row r="25" spans="1:7" x14ac:dyDescent="0.35">
      <c r="A25" s="3" t="s">
        <v>149</v>
      </c>
      <c r="B25" s="3">
        <v>80.44</v>
      </c>
      <c r="C25" s="3">
        <v>89.36</v>
      </c>
      <c r="D25" s="4">
        <v>1445.34</v>
      </c>
      <c r="E25" s="4">
        <v>1444.9</v>
      </c>
      <c r="F25" s="4">
        <v>1337.97</v>
      </c>
      <c r="G25" s="4">
        <v>1174.47</v>
      </c>
    </row>
    <row r="26" spans="1:7" x14ac:dyDescent="0.35">
      <c r="A26" s="3" t="s">
        <v>150</v>
      </c>
      <c r="B26" s="3">
        <v>0</v>
      </c>
      <c r="C26" s="3">
        <v>19.920000000000002</v>
      </c>
      <c r="D26" s="3">
        <v>25.84</v>
      </c>
      <c r="E26" s="3">
        <v>25.61</v>
      </c>
      <c r="F26" s="3">
        <v>0</v>
      </c>
      <c r="G26" s="3">
        <v>0</v>
      </c>
    </row>
    <row r="27" spans="1:7" x14ac:dyDescent="0.35">
      <c r="A27" s="2"/>
      <c r="B27" s="2"/>
      <c r="C27" s="2"/>
      <c r="D27" s="2"/>
      <c r="E27" s="2"/>
      <c r="F27" s="2"/>
      <c r="G27" s="2"/>
    </row>
    <row r="28" spans="1:7" x14ac:dyDescent="0.35">
      <c r="A28" s="3" t="s">
        <v>151</v>
      </c>
      <c r="B28" s="3">
        <v>0</v>
      </c>
      <c r="C28" s="3">
        <v>158.38</v>
      </c>
      <c r="D28" s="3">
        <v>160</v>
      </c>
      <c r="E28" s="3">
        <v>163.41999999999999</v>
      </c>
      <c r="F28" s="3">
        <v>0</v>
      </c>
      <c r="G28" s="3">
        <v>0</v>
      </c>
    </row>
    <row r="29" spans="1:7" x14ac:dyDescent="0.35">
      <c r="A29" s="3" t="s">
        <v>152</v>
      </c>
      <c r="B29" s="3">
        <v>0</v>
      </c>
      <c r="C29" s="3">
        <v>138.46</v>
      </c>
      <c r="D29" s="3">
        <v>134.16</v>
      </c>
      <c r="E29" s="3">
        <v>137.81</v>
      </c>
      <c r="F29" s="3">
        <v>0</v>
      </c>
      <c r="G29" s="3">
        <v>0</v>
      </c>
    </row>
    <row r="30" spans="1:7" x14ac:dyDescent="0.35">
      <c r="A30" s="3" t="s">
        <v>153</v>
      </c>
      <c r="B30" s="3" t="s">
        <v>154</v>
      </c>
      <c r="C30" s="3" t="s">
        <v>154</v>
      </c>
      <c r="D30" s="3" t="s">
        <v>154</v>
      </c>
      <c r="E30" s="3" t="s">
        <v>154</v>
      </c>
      <c r="F30" s="3" t="s">
        <v>154</v>
      </c>
      <c r="G30" s="3" t="s">
        <v>154</v>
      </c>
    </row>
    <row r="31" spans="1:7" x14ac:dyDescent="0.35">
      <c r="A31" s="2"/>
      <c r="B31" s="2"/>
      <c r="C31" s="2"/>
      <c r="D31" s="2"/>
      <c r="E31" s="2"/>
      <c r="F31" s="2"/>
      <c r="G31" s="2"/>
    </row>
    <row r="32" spans="1:7" x14ac:dyDescent="0.35">
      <c r="A32" s="3" t="s">
        <v>155</v>
      </c>
      <c r="B32" s="4">
        <v>3355.77</v>
      </c>
      <c r="C32" s="4">
        <v>3714.65</v>
      </c>
      <c r="D32" s="4">
        <v>5471.95</v>
      </c>
      <c r="E32" s="4">
        <v>5488.59</v>
      </c>
      <c r="F32" s="4">
        <v>7028.34</v>
      </c>
      <c r="G32" s="4">
        <v>8589.73</v>
      </c>
    </row>
    <row r="33" spans="1:7" x14ac:dyDescent="0.35">
      <c r="A33" s="2"/>
      <c r="B33" s="2"/>
      <c r="C33" s="2"/>
      <c r="D33" s="2"/>
      <c r="E33" s="2"/>
      <c r="F33" s="2"/>
      <c r="G33" s="2"/>
    </row>
    <row r="34" spans="1:7" x14ac:dyDescent="0.35">
      <c r="A34" s="6" t="s">
        <v>156</v>
      </c>
      <c r="B34" s="2"/>
      <c r="C34" s="2"/>
      <c r="D34" s="2"/>
      <c r="E34" s="2"/>
      <c r="F34" s="2"/>
      <c r="G34" s="2"/>
    </row>
    <row r="35" spans="1:7" x14ac:dyDescent="0.35">
      <c r="A35" s="2"/>
      <c r="B35" s="2"/>
      <c r="C35" s="2"/>
      <c r="D35" s="2"/>
      <c r="E35" s="2"/>
      <c r="F35" s="2"/>
      <c r="G35" s="2"/>
    </row>
    <row r="36" spans="1:7" x14ac:dyDescent="0.35">
      <c r="A36" s="3" t="s">
        <v>157</v>
      </c>
      <c r="B36" s="4">
        <v>1283.07</v>
      </c>
      <c r="C36" s="4">
        <v>1416.48</v>
      </c>
      <c r="D36" s="4">
        <v>1592.65</v>
      </c>
      <c r="E36" s="4">
        <v>1928.77</v>
      </c>
      <c r="F36" s="4">
        <v>2089.36</v>
      </c>
      <c r="G36" s="4">
        <v>2850.14</v>
      </c>
    </row>
    <row r="37" spans="1:7" x14ac:dyDescent="0.35">
      <c r="A37" s="3" t="s">
        <v>138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</row>
    <row r="38" spans="1:7" x14ac:dyDescent="0.35">
      <c r="A38" s="3" t="s">
        <v>142</v>
      </c>
      <c r="B38" s="2"/>
      <c r="C38" s="2"/>
      <c r="D38" s="2"/>
      <c r="E38" s="2"/>
      <c r="F38" s="2"/>
      <c r="G38" s="2"/>
    </row>
    <row r="39" spans="1:7" x14ac:dyDescent="0.35">
      <c r="A39" s="3" t="s">
        <v>158</v>
      </c>
      <c r="B39" s="4">
        <v>1007.45</v>
      </c>
      <c r="C39" s="3">
        <v>722.94</v>
      </c>
      <c r="D39" s="3">
        <v>63.28</v>
      </c>
      <c r="E39" s="3">
        <v>217.35</v>
      </c>
      <c r="F39" s="3">
        <v>39.979999999999997</v>
      </c>
      <c r="G39" s="3">
        <v>0</v>
      </c>
    </row>
    <row r="40" spans="1:7" x14ac:dyDescent="0.35">
      <c r="A40" s="3" t="s">
        <v>159</v>
      </c>
      <c r="B40" s="3">
        <v>124.33</v>
      </c>
      <c r="C40" s="3">
        <v>164.93</v>
      </c>
      <c r="D40" s="3">
        <v>165.97</v>
      </c>
      <c r="E40" s="3">
        <v>191.89</v>
      </c>
      <c r="F40" s="3">
        <v>300.45999999999998</v>
      </c>
      <c r="G40" s="3">
        <v>363.15</v>
      </c>
    </row>
    <row r="41" spans="1:7" x14ac:dyDescent="0.35">
      <c r="A41" s="3" t="s">
        <v>160</v>
      </c>
      <c r="B41" s="4">
        <v>1293.1600000000001</v>
      </c>
      <c r="C41" s="4">
        <v>1754.8</v>
      </c>
      <c r="D41" s="3">
        <v>718.53</v>
      </c>
      <c r="E41" s="3">
        <v>926.55</v>
      </c>
      <c r="F41" s="3">
        <v>758.87</v>
      </c>
      <c r="G41" s="3">
        <v>76.180000000000007</v>
      </c>
    </row>
    <row r="42" spans="1:7" ht="26.5" customHeight="1" x14ac:dyDescent="0.35">
      <c r="A42" s="3" t="s">
        <v>161</v>
      </c>
      <c r="B42" s="3">
        <v>14.89</v>
      </c>
      <c r="C42" s="3">
        <v>15.07</v>
      </c>
      <c r="D42" s="3">
        <v>16.88</v>
      </c>
      <c r="E42" s="3">
        <v>19</v>
      </c>
      <c r="F42" s="3">
        <v>19.98</v>
      </c>
      <c r="G42" s="3">
        <v>19.47</v>
      </c>
    </row>
    <row r="43" spans="1:7" x14ac:dyDescent="0.35">
      <c r="A43" s="3" t="s">
        <v>162</v>
      </c>
      <c r="B43" s="3">
        <v>12.46</v>
      </c>
      <c r="C43" s="3">
        <v>13.22</v>
      </c>
      <c r="D43" s="3">
        <v>10.69</v>
      </c>
      <c r="E43" s="3">
        <v>10.26</v>
      </c>
      <c r="F43" s="3">
        <v>11.01</v>
      </c>
      <c r="G43" s="3">
        <v>10.31</v>
      </c>
    </row>
    <row r="44" spans="1:7" x14ac:dyDescent="0.35">
      <c r="A44" s="3" t="s">
        <v>163</v>
      </c>
      <c r="B44" s="3">
        <v>55.79</v>
      </c>
      <c r="C44" s="3">
        <v>58.96</v>
      </c>
      <c r="D44" s="3">
        <v>50.75</v>
      </c>
      <c r="E44" s="3">
        <v>58.26</v>
      </c>
      <c r="F44" s="3">
        <v>46.27</v>
      </c>
      <c r="G44" s="3">
        <v>24.72</v>
      </c>
    </row>
    <row r="45" spans="1:7" x14ac:dyDescent="0.35">
      <c r="A45" s="3" t="s">
        <v>164</v>
      </c>
      <c r="B45" s="3">
        <v>0</v>
      </c>
      <c r="C45" s="3">
        <v>0</v>
      </c>
      <c r="D45" s="3">
        <v>29.3</v>
      </c>
      <c r="E45" s="3">
        <v>0</v>
      </c>
      <c r="F45" s="3">
        <v>0</v>
      </c>
      <c r="G45" s="3">
        <v>0</v>
      </c>
    </row>
    <row r="46" spans="1:7" x14ac:dyDescent="0.35">
      <c r="A46" s="3" t="s">
        <v>148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</row>
    <row r="47" spans="1:7" x14ac:dyDescent="0.35">
      <c r="A47" s="3" t="s">
        <v>165</v>
      </c>
      <c r="B47" s="3">
        <v>26.02</v>
      </c>
      <c r="C47" s="3">
        <v>38.68</v>
      </c>
      <c r="D47" s="3">
        <v>95.25</v>
      </c>
      <c r="E47" s="3">
        <v>138.07</v>
      </c>
      <c r="F47" s="3">
        <v>228.79</v>
      </c>
      <c r="G47" s="3">
        <v>390.19</v>
      </c>
    </row>
    <row r="48" spans="1:7" x14ac:dyDescent="0.35">
      <c r="A48" s="3" t="s">
        <v>166</v>
      </c>
      <c r="B48" s="3">
        <v>0</v>
      </c>
      <c r="C48" s="3">
        <v>0</v>
      </c>
      <c r="D48" s="3">
        <v>18.88</v>
      </c>
      <c r="E48" s="3">
        <v>0</v>
      </c>
      <c r="F48" s="3">
        <v>0</v>
      </c>
      <c r="G48" s="3">
        <v>0</v>
      </c>
    </row>
    <row r="49" spans="1:7" x14ac:dyDescent="0.35">
      <c r="A49" s="6" t="s">
        <v>167</v>
      </c>
      <c r="B49" s="4">
        <v>3817.17</v>
      </c>
      <c r="C49" s="4">
        <v>4185.08</v>
      </c>
      <c r="D49" s="4">
        <v>2762.18</v>
      </c>
      <c r="E49" s="4">
        <v>3490.15</v>
      </c>
      <c r="F49" s="4">
        <v>3494.72</v>
      </c>
      <c r="G49" s="4">
        <v>3734.16</v>
      </c>
    </row>
    <row r="50" spans="1:7" x14ac:dyDescent="0.35">
      <c r="A50" s="2"/>
      <c r="B50" s="2"/>
      <c r="C50" s="2"/>
      <c r="D50" s="2"/>
      <c r="E50" s="2"/>
      <c r="F50" s="2"/>
      <c r="G50" s="2"/>
    </row>
    <row r="51" spans="1:7" ht="26.5" customHeight="1" x14ac:dyDescent="0.35">
      <c r="A51" s="3" t="s">
        <v>168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</row>
    <row r="52" spans="1:7" x14ac:dyDescent="0.35">
      <c r="A52" s="2"/>
      <c r="B52" s="2"/>
      <c r="C52" s="2"/>
      <c r="D52" s="2"/>
      <c r="E52" s="2"/>
      <c r="F52" s="2"/>
      <c r="G52" s="2"/>
    </row>
    <row r="53" spans="1:7" x14ac:dyDescent="0.35">
      <c r="A53" s="3" t="s">
        <v>169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</row>
    <row r="54" spans="1:7" ht="26.5" customHeight="1" x14ac:dyDescent="0.35">
      <c r="A54" s="3" t="s">
        <v>170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</row>
    <row r="55" spans="1:7" x14ac:dyDescent="0.35">
      <c r="A55" s="2"/>
      <c r="B55" s="2"/>
      <c r="C55" s="2"/>
      <c r="D55" s="2"/>
      <c r="E55" s="2"/>
      <c r="F55" s="2"/>
      <c r="G55" s="2"/>
    </row>
    <row r="56" spans="1:7" x14ac:dyDescent="0.35">
      <c r="A56" s="3" t="s">
        <v>171</v>
      </c>
      <c r="B56" s="4">
        <v>3355.77</v>
      </c>
      <c r="C56" s="4">
        <v>3714.65</v>
      </c>
      <c r="D56" s="4">
        <v>5471.95</v>
      </c>
      <c r="E56" s="4">
        <v>5488.59</v>
      </c>
      <c r="F56" s="4">
        <v>7028.34</v>
      </c>
      <c r="G56" s="4">
        <v>8589.73</v>
      </c>
    </row>
    <row r="57" spans="1:7" x14ac:dyDescent="0.35">
      <c r="A57" s="2"/>
      <c r="B57" s="2"/>
      <c r="C57" s="2"/>
      <c r="D57" s="2"/>
      <c r="E57" s="2"/>
      <c r="F57" s="2"/>
      <c r="G57" s="2"/>
    </row>
    <row r="58" spans="1:7" x14ac:dyDescent="0.35">
      <c r="A58" s="6" t="s">
        <v>172</v>
      </c>
      <c r="B58" s="4">
        <v>7172.94</v>
      </c>
      <c r="C58" s="4">
        <v>7899.73</v>
      </c>
      <c r="D58" s="4">
        <v>8234.1299999999992</v>
      </c>
      <c r="E58" s="4">
        <v>8978.74</v>
      </c>
      <c r="F58" s="4">
        <v>10523.06</v>
      </c>
      <c r="G58" s="4">
        <v>12323.89</v>
      </c>
    </row>
    <row r="59" spans="1:7" x14ac:dyDescent="0.35">
      <c r="A59" s="2"/>
      <c r="B59" s="2"/>
      <c r="C59" s="2"/>
      <c r="D59" s="2"/>
      <c r="E59" s="2"/>
      <c r="F59" s="2"/>
      <c r="G59" s="2"/>
    </row>
    <row r="60" spans="1:7" x14ac:dyDescent="0.35">
      <c r="A60" s="3" t="s">
        <v>173</v>
      </c>
      <c r="B60" s="2"/>
      <c r="C60" s="2"/>
      <c r="D60" s="2"/>
      <c r="E60" s="2"/>
      <c r="F60" s="2"/>
      <c r="G60" s="2"/>
    </row>
    <row r="61" spans="1:7" x14ac:dyDescent="0.35">
      <c r="A61" s="2"/>
      <c r="B61" s="2"/>
      <c r="C61" s="2"/>
      <c r="D61" s="2"/>
      <c r="E61" s="2"/>
      <c r="F61" s="2"/>
      <c r="G61" s="2"/>
    </row>
    <row r="62" spans="1:7" x14ac:dyDescent="0.35">
      <c r="A62" s="3" t="s">
        <v>174</v>
      </c>
      <c r="B62" s="3">
        <v>96.42</v>
      </c>
      <c r="C62" s="3">
        <v>96.42</v>
      </c>
      <c r="D62" s="3">
        <v>96.42</v>
      </c>
      <c r="E62" s="3">
        <v>96.42</v>
      </c>
      <c r="F62" s="3">
        <v>96.42</v>
      </c>
      <c r="G62" s="3">
        <v>96.42</v>
      </c>
    </row>
    <row r="63" spans="1:7" ht="26.5" customHeight="1" x14ac:dyDescent="0.35">
      <c r="A63" s="3" t="s">
        <v>175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ht="26.5" customHeight="1" x14ac:dyDescent="0.35">
      <c r="A64" s="3" t="s">
        <v>176</v>
      </c>
      <c r="B64" s="3">
        <v>0</v>
      </c>
      <c r="C64" s="3">
        <v>0</v>
      </c>
      <c r="D64" s="3">
        <v>7.34</v>
      </c>
      <c r="E64" s="3">
        <v>7.34</v>
      </c>
      <c r="F64" s="3">
        <v>73.41</v>
      </c>
      <c r="G64" s="3">
        <v>73.41</v>
      </c>
    </row>
    <row r="65" spans="1:7" x14ac:dyDescent="0.35">
      <c r="A65" s="3" t="s">
        <v>177</v>
      </c>
      <c r="B65" s="3">
        <v>9.64</v>
      </c>
      <c r="C65" s="3">
        <v>9.64</v>
      </c>
      <c r="D65" s="3">
        <v>9.64</v>
      </c>
      <c r="E65" s="3">
        <v>9.64</v>
      </c>
      <c r="F65" s="3">
        <v>96.42</v>
      </c>
      <c r="G65" s="3">
        <v>96.42</v>
      </c>
    </row>
    <row r="66" spans="1:7" x14ac:dyDescent="0.35">
      <c r="A66" s="3" t="s">
        <v>178</v>
      </c>
      <c r="B66" s="3">
        <v>96.42</v>
      </c>
      <c r="C66" s="3">
        <v>96.42</v>
      </c>
      <c r="D66" s="3">
        <v>96.42</v>
      </c>
      <c r="E66" s="3">
        <v>96.42</v>
      </c>
      <c r="F66" s="3">
        <v>96.42</v>
      </c>
      <c r="G66" s="3">
        <v>96.42</v>
      </c>
    </row>
    <row r="67" spans="1:7" x14ac:dyDescent="0.35">
      <c r="A67" s="3" t="s">
        <v>179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ht="26.5" customHeight="1" x14ac:dyDescent="0.35">
      <c r="A68" s="3" t="s">
        <v>180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ht="26.5" customHeight="1" x14ac:dyDescent="0.35">
      <c r="A69" s="3" t="s">
        <v>181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35">
      <c r="A70" s="2"/>
      <c r="B70" s="2"/>
      <c r="C70" s="2"/>
      <c r="D70" s="2"/>
      <c r="E70" s="2"/>
      <c r="F70" s="2"/>
      <c r="G70" s="2"/>
    </row>
    <row r="71" spans="1:7" x14ac:dyDescent="0.35">
      <c r="A71" s="3" t="s">
        <v>182</v>
      </c>
      <c r="B71" s="4">
        <v>1822.45</v>
      </c>
      <c r="C71" s="4">
        <v>1922.92</v>
      </c>
      <c r="D71" s="4">
        <v>1849.96</v>
      </c>
      <c r="E71" s="4">
        <v>2362.75</v>
      </c>
      <c r="F71" s="4">
        <v>3244.47</v>
      </c>
      <c r="G71" s="4">
        <v>4020.73</v>
      </c>
    </row>
    <row r="72" spans="1:7" x14ac:dyDescent="0.35">
      <c r="A72" s="3" t="s">
        <v>183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35">
      <c r="A73" s="2"/>
      <c r="B73" s="2"/>
      <c r="C73" s="2"/>
      <c r="D73" s="2"/>
      <c r="E73" s="2"/>
      <c r="F73" s="2"/>
      <c r="G73" s="2"/>
    </row>
    <row r="74" spans="1:7" x14ac:dyDescent="0.35">
      <c r="A74" s="3" t="s">
        <v>184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35">
      <c r="A75" s="3" t="s">
        <v>185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35">
      <c r="A76" s="2"/>
      <c r="B76" s="2"/>
      <c r="C76" s="2"/>
      <c r="D76" s="2"/>
      <c r="E76" s="2"/>
      <c r="F76" s="2"/>
      <c r="G76" s="2"/>
    </row>
    <row r="77" spans="1:7" x14ac:dyDescent="0.35">
      <c r="A77" s="3" t="s">
        <v>186</v>
      </c>
      <c r="B77" s="4">
        <v>1918.87</v>
      </c>
      <c r="C77" s="4">
        <v>2019.34</v>
      </c>
      <c r="D77" s="4">
        <v>1946.38</v>
      </c>
      <c r="E77" s="4">
        <v>2459.17</v>
      </c>
      <c r="F77" s="4">
        <v>3340.89</v>
      </c>
      <c r="G77" s="4">
        <v>4117.1499999999996</v>
      </c>
    </row>
    <row r="78" spans="1:7" x14ac:dyDescent="0.35">
      <c r="A78" s="2"/>
      <c r="B78" s="2"/>
      <c r="C78" s="2"/>
      <c r="D78" s="2"/>
      <c r="E78" s="2"/>
      <c r="F78" s="2"/>
      <c r="G78" s="2"/>
    </row>
    <row r="79" spans="1:7" x14ac:dyDescent="0.35">
      <c r="A79" s="3" t="s">
        <v>187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35">
      <c r="A80" s="2"/>
      <c r="B80" s="2"/>
      <c r="C80" s="2"/>
      <c r="D80" s="2"/>
      <c r="E80" s="2"/>
      <c r="F80" s="2"/>
      <c r="G80" s="2"/>
    </row>
    <row r="81" spans="1:7" x14ac:dyDescent="0.35">
      <c r="A81" s="6" t="s">
        <v>188</v>
      </c>
      <c r="B81" s="4">
        <v>1918.87</v>
      </c>
      <c r="C81" s="4">
        <v>2019.34</v>
      </c>
      <c r="D81" s="4">
        <v>1946.38</v>
      </c>
      <c r="E81" s="4">
        <v>2459.17</v>
      </c>
      <c r="F81" s="4">
        <v>3340.89</v>
      </c>
      <c r="G81" s="4">
        <v>4117.1499999999996</v>
      </c>
    </row>
    <row r="82" spans="1:7" x14ac:dyDescent="0.35">
      <c r="A82" s="2"/>
      <c r="B82" s="2"/>
      <c r="C82" s="2"/>
      <c r="D82" s="2"/>
      <c r="E82" s="2"/>
      <c r="F82" s="2"/>
      <c r="G82" s="2"/>
    </row>
    <row r="83" spans="1:7" x14ac:dyDescent="0.35">
      <c r="A83" s="3" t="s">
        <v>189</v>
      </c>
      <c r="B83" s="2"/>
      <c r="C83" s="2"/>
      <c r="D83" s="2"/>
      <c r="E83" s="2"/>
      <c r="F83" s="2"/>
      <c r="G83" s="2"/>
    </row>
    <row r="84" spans="1:7" x14ac:dyDescent="0.35">
      <c r="A84" s="3" t="s">
        <v>190</v>
      </c>
      <c r="B84" s="3">
        <v>53.14</v>
      </c>
      <c r="C84" s="3">
        <v>31.72</v>
      </c>
      <c r="D84" s="3">
        <v>27.47</v>
      </c>
      <c r="E84" s="3">
        <v>26.66</v>
      </c>
      <c r="F84" s="3">
        <v>25.48</v>
      </c>
      <c r="G84" s="3">
        <v>22.48</v>
      </c>
    </row>
    <row r="85" spans="1:7" x14ac:dyDescent="0.35">
      <c r="A85" s="3" t="s">
        <v>191</v>
      </c>
      <c r="B85" s="3">
        <v>89.6</v>
      </c>
      <c r="C85" s="3">
        <v>65.760000000000005</v>
      </c>
      <c r="D85" s="3">
        <v>190.31</v>
      </c>
      <c r="E85" s="3">
        <v>190.65</v>
      </c>
      <c r="F85" s="3">
        <v>255.92</v>
      </c>
      <c r="G85" s="3">
        <v>341.53</v>
      </c>
    </row>
    <row r="86" spans="1:7" x14ac:dyDescent="0.35">
      <c r="A86" s="3" t="s">
        <v>192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35">
      <c r="A87" s="3" t="s">
        <v>193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35">
      <c r="A88" s="3" t="s">
        <v>194</v>
      </c>
      <c r="B88" s="4">
        <v>2906.91</v>
      </c>
      <c r="C88" s="4">
        <v>3268.27</v>
      </c>
      <c r="D88" s="4">
        <v>3285.26</v>
      </c>
      <c r="E88" s="4">
        <v>3205.16</v>
      </c>
      <c r="F88" s="4">
        <v>2917.2</v>
      </c>
      <c r="G88" s="4">
        <v>3090.15</v>
      </c>
    </row>
    <row r="89" spans="1:7" x14ac:dyDescent="0.35">
      <c r="A89" s="3" t="s">
        <v>195</v>
      </c>
      <c r="B89" s="3">
        <v>13.44</v>
      </c>
      <c r="C89" s="3">
        <v>0</v>
      </c>
      <c r="D89" s="3">
        <v>0</v>
      </c>
      <c r="E89" s="3">
        <v>0</v>
      </c>
      <c r="F89" s="3">
        <v>12.04</v>
      </c>
      <c r="G89" s="3">
        <v>53.59</v>
      </c>
    </row>
    <row r="90" spans="1:7" x14ac:dyDescent="0.35">
      <c r="A90" s="3" t="s">
        <v>196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35">
      <c r="A91" s="3" t="s">
        <v>197</v>
      </c>
      <c r="B91" s="3">
        <v>0.43</v>
      </c>
      <c r="C91" s="3">
        <v>22.09</v>
      </c>
      <c r="D91" s="3">
        <v>19.97</v>
      </c>
      <c r="E91" s="3">
        <v>17.350000000000001</v>
      </c>
      <c r="F91" s="3">
        <v>15.46</v>
      </c>
      <c r="G91" s="3">
        <v>13.64</v>
      </c>
    </row>
    <row r="92" spans="1:7" x14ac:dyDescent="0.35">
      <c r="A92" s="3" t="s">
        <v>198</v>
      </c>
      <c r="B92" s="4">
        <v>3063.52</v>
      </c>
      <c r="C92" s="4">
        <v>3387.84</v>
      </c>
      <c r="D92" s="4">
        <v>3523.01</v>
      </c>
      <c r="E92" s="4">
        <v>3439.82</v>
      </c>
      <c r="F92" s="4">
        <v>3226.1</v>
      </c>
      <c r="G92" s="4">
        <v>3521.39</v>
      </c>
    </row>
    <row r="93" spans="1:7" x14ac:dyDescent="0.35">
      <c r="A93" s="2"/>
      <c r="B93" s="2"/>
      <c r="C93" s="2"/>
      <c r="D93" s="2"/>
      <c r="E93" s="2"/>
      <c r="F93" s="2"/>
      <c r="G93" s="2"/>
    </row>
    <row r="94" spans="1:7" x14ac:dyDescent="0.35">
      <c r="A94" s="6" t="s">
        <v>199</v>
      </c>
      <c r="B94" s="2"/>
      <c r="C94" s="2"/>
      <c r="D94" s="2"/>
      <c r="E94" s="2"/>
      <c r="F94" s="2"/>
      <c r="G94" s="2"/>
    </row>
    <row r="95" spans="1:7" x14ac:dyDescent="0.35">
      <c r="A95" s="2"/>
      <c r="B95" s="2"/>
      <c r="C95" s="2"/>
      <c r="D95" s="2"/>
      <c r="E95" s="2"/>
      <c r="F95" s="2"/>
      <c r="G95" s="2"/>
    </row>
    <row r="96" spans="1:7" x14ac:dyDescent="0.35">
      <c r="A96" s="3" t="s">
        <v>200</v>
      </c>
      <c r="B96" s="3">
        <v>0</v>
      </c>
      <c r="C96" s="3">
        <v>3.12</v>
      </c>
      <c r="D96" s="3">
        <v>6.59</v>
      </c>
      <c r="E96" s="3">
        <v>3.37</v>
      </c>
      <c r="F96" s="3">
        <v>5.66</v>
      </c>
      <c r="G96" s="3">
        <v>730.86</v>
      </c>
    </row>
    <row r="97" spans="1:7" x14ac:dyDescent="0.35">
      <c r="A97" s="3" t="s">
        <v>191</v>
      </c>
      <c r="B97" s="3">
        <v>46.2</v>
      </c>
      <c r="C97" s="3">
        <v>46.89</v>
      </c>
      <c r="D97" s="3">
        <v>42.09</v>
      </c>
      <c r="E97" s="3">
        <v>49.84</v>
      </c>
      <c r="F97" s="3">
        <v>57.47</v>
      </c>
      <c r="G97" s="3">
        <v>71.98</v>
      </c>
    </row>
    <row r="98" spans="1:7" x14ac:dyDescent="0.35">
      <c r="A98" s="3" t="s">
        <v>201</v>
      </c>
      <c r="B98" s="4">
        <v>1491.53</v>
      </c>
      <c r="C98" s="4">
        <v>1516.58</v>
      </c>
      <c r="D98" s="4">
        <v>1748.17</v>
      </c>
      <c r="E98" s="4">
        <v>2120.94</v>
      </c>
      <c r="F98" s="4">
        <v>2812.01</v>
      </c>
      <c r="G98" s="4">
        <v>2623.81</v>
      </c>
    </row>
    <row r="99" spans="1:7" x14ac:dyDescent="0.35">
      <c r="A99" s="3" t="s">
        <v>202</v>
      </c>
      <c r="B99" s="3">
        <v>431.48</v>
      </c>
      <c r="C99" s="3">
        <v>661.19</v>
      </c>
      <c r="D99" s="3">
        <v>658.8</v>
      </c>
      <c r="E99" s="3">
        <v>480.91</v>
      </c>
      <c r="F99" s="3">
        <v>641.72</v>
      </c>
      <c r="G99" s="3">
        <v>755.3</v>
      </c>
    </row>
    <row r="100" spans="1:7" x14ac:dyDescent="0.35">
      <c r="A100" s="3" t="s">
        <v>203</v>
      </c>
      <c r="B100" s="3">
        <v>1.92</v>
      </c>
      <c r="C100" s="3">
        <v>9.8000000000000007</v>
      </c>
      <c r="D100" s="3">
        <v>0</v>
      </c>
      <c r="E100" s="3">
        <v>33.020000000000003</v>
      </c>
      <c r="F100" s="3">
        <v>38.21</v>
      </c>
      <c r="G100" s="3">
        <v>45.25</v>
      </c>
    </row>
    <row r="101" spans="1:7" x14ac:dyDescent="0.35">
      <c r="A101" s="3" t="s">
        <v>204</v>
      </c>
      <c r="B101" s="3">
        <v>85.46</v>
      </c>
      <c r="C101" s="3">
        <v>105.96</v>
      </c>
      <c r="D101" s="3">
        <v>138.76</v>
      </c>
      <c r="E101" s="3">
        <v>160.69999999999999</v>
      </c>
      <c r="F101" s="3">
        <v>261.62</v>
      </c>
      <c r="G101" s="3">
        <v>242.28</v>
      </c>
    </row>
    <row r="102" spans="1:7" x14ac:dyDescent="0.35">
      <c r="A102" s="3" t="s">
        <v>196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35">
      <c r="A103" s="3" t="s">
        <v>205</v>
      </c>
      <c r="B103" s="3">
        <v>133.96</v>
      </c>
      <c r="C103" s="3">
        <v>149.01</v>
      </c>
      <c r="D103" s="3">
        <v>170.33</v>
      </c>
      <c r="E103" s="3">
        <v>230.97</v>
      </c>
      <c r="F103" s="3">
        <v>139.38</v>
      </c>
      <c r="G103" s="3">
        <v>215.87</v>
      </c>
    </row>
    <row r="104" spans="1:7" ht="26.5" customHeight="1" x14ac:dyDescent="0.35">
      <c r="A104" s="3" t="s">
        <v>206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3">
        <v>0</v>
      </c>
    </row>
    <row r="105" spans="1:7" x14ac:dyDescent="0.35">
      <c r="A105" s="3" t="s">
        <v>207</v>
      </c>
      <c r="B105" s="4">
        <v>2190.5500000000002</v>
      </c>
      <c r="C105" s="4">
        <v>2492.5500000000002</v>
      </c>
      <c r="D105" s="4">
        <v>2764.74</v>
      </c>
      <c r="E105" s="4">
        <v>3079.75</v>
      </c>
      <c r="F105" s="4">
        <v>3956.07</v>
      </c>
      <c r="G105" s="4">
        <v>4685.3500000000004</v>
      </c>
    </row>
    <row r="106" spans="1:7" x14ac:dyDescent="0.35">
      <c r="A106" s="2"/>
      <c r="B106" s="2"/>
      <c r="C106" s="2"/>
      <c r="D106" s="2"/>
      <c r="E106" s="2"/>
      <c r="F106" s="2"/>
      <c r="G106" s="2"/>
    </row>
    <row r="107" spans="1:7" ht="26.5" customHeight="1" x14ac:dyDescent="0.35">
      <c r="A107" s="3" t="s">
        <v>168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</row>
    <row r="108" spans="1:7" x14ac:dyDescent="0.35">
      <c r="A108" s="2"/>
      <c r="B108" s="2"/>
      <c r="C108" s="2"/>
      <c r="D108" s="2"/>
      <c r="E108" s="2"/>
      <c r="F108" s="2"/>
      <c r="G108" s="2"/>
    </row>
    <row r="109" spans="1:7" x14ac:dyDescent="0.35">
      <c r="A109" s="3" t="s">
        <v>208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</row>
    <row r="110" spans="1:7" x14ac:dyDescent="0.35">
      <c r="A110" s="2"/>
      <c r="B110" s="2"/>
      <c r="C110" s="2"/>
      <c r="D110" s="2"/>
      <c r="E110" s="2"/>
      <c r="F110" s="2"/>
      <c r="G110" s="2"/>
    </row>
    <row r="111" spans="1:7" x14ac:dyDescent="0.35">
      <c r="A111" s="3" t="s">
        <v>209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3">
        <v>0</v>
      </c>
    </row>
    <row r="112" spans="1:7" x14ac:dyDescent="0.35">
      <c r="A112" s="2"/>
      <c r="B112" s="2"/>
      <c r="C112" s="2"/>
      <c r="D112" s="2"/>
      <c r="E112" s="2"/>
      <c r="F112" s="2"/>
      <c r="G112" s="2"/>
    </row>
    <row r="113" spans="1:7" ht="26.5" customHeight="1" x14ac:dyDescent="0.35">
      <c r="A113" s="3" t="s">
        <v>210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</row>
    <row r="114" spans="1:7" x14ac:dyDescent="0.35">
      <c r="A114" s="2"/>
      <c r="B114" s="2"/>
      <c r="C114" s="2"/>
      <c r="D114" s="2"/>
      <c r="E114" s="2"/>
      <c r="F114" s="2"/>
      <c r="G114" s="2"/>
    </row>
    <row r="115" spans="1:7" x14ac:dyDescent="0.35">
      <c r="A115" s="3" t="s">
        <v>211</v>
      </c>
      <c r="B115" s="4">
        <v>7172.94</v>
      </c>
      <c r="C115" s="4">
        <v>7899.73</v>
      </c>
      <c r="D115" s="4">
        <v>8234.1299999999992</v>
      </c>
      <c r="E115" s="4">
        <v>8978.74</v>
      </c>
      <c r="F115" s="4">
        <v>10523.06</v>
      </c>
      <c r="G115" s="4">
        <v>12323.89</v>
      </c>
    </row>
    <row r="116" spans="1:7" x14ac:dyDescent="0.35">
      <c r="A116" s="2"/>
      <c r="B116" s="2"/>
      <c r="C116" s="2"/>
      <c r="D116" s="2"/>
      <c r="E116" s="2"/>
      <c r="F116" s="2"/>
      <c r="G116" s="2"/>
    </row>
    <row r="117" spans="1:7" ht="26.5" customHeight="1" x14ac:dyDescent="0.35">
      <c r="A117" s="3" t="s">
        <v>212</v>
      </c>
      <c r="B117" s="3">
        <v>394.48</v>
      </c>
      <c r="C117" s="3">
        <v>315.39999999999998</v>
      </c>
      <c r="D117" s="3">
        <v>189.49</v>
      </c>
      <c r="E117" s="3">
        <v>790.18</v>
      </c>
      <c r="F117" s="4">
        <v>1313.91</v>
      </c>
      <c r="G117" s="3">
        <v>500.94</v>
      </c>
    </row>
    <row r="118" spans="1:7" x14ac:dyDescent="0.35">
      <c r="A118" s="3" t="s">
        <v>213</v>
      </c>
      <c r="B118" s="3">
        <v>199.02</v>
      </c>
      <c r="C118" s="3">
        <v>209.44</v>
      </c>
      <c r="D118" s="3">
        <v>201.87</v>
      </c>
      <c r="E118" s="3">
        <v>255.05</v>
      </c>
      <c r="F118" s="3">
        <v>34.65</v>
      </c>
      <c r="G118" s="3">
        <v>42.7</v>
      </c>
    </row>
    <row r="119" spans="1:7" x14ac:dyDescent="0.35">
      <c r="A119" s="3"/>
      <c r="B119" s="5"/>
      <c r="C119" s="5"/>
      <c r="D119" s="5"/>
      <c r="E119" s="5"/>
      <c r="F119" s="5"/>
      <c r="G119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80"/>
  <sheetViews>
    <sheetView zoomScale="94" workbookViewId="0">
      <selection activeCell="B2" sqref="B2:G2"/>
    </sheetView>
  </sheetViews>
  <sheetFormatPr defaultRowHeight="14.5" x14ac:dyDescent="0.35"/>
  <cols>
    <col min="1" max="1" width="17.6328125" bestFit="1" customWidth="1"/>
    <col min="2" max="6" width="12.54296875" bestFit="1" customWidth="1"/>
    <col min="7" max="7" width="11.54296875" bestFit="1" customWidth="1"/>
    <col min="11" max="11" width="15.90625" customWidth="1"/>
    <col min="12" max="12" width="15.36328125" customWidth="1"/>
  </cols>
  <sheetData>
    <row r="1" spans="1:9" x14ac:dyDescent="0.35">
      <c r="A1" s="128" t="s">
        <v>214</v>
      </c>
      <c r="B1" s="129"/>
      <c r="C1" s="129"/>
      <c r="D1" s="129"/>
      <c r="E1" s="129"/>
      <c r="F1" s="129"/>
      <c r="G1" s="130"/>
    </row>
    <row r="2" spans="1:9" ht="15" customHeight="1" thickBot="1" x14ac:dyDescent="0.4">
      <c r="A2" s="23"/>
      <c r="B2" s="13">
        <v>2019</v>
      </c>
      <c r="C2" s="14">
        <v>2020</v>
      </c>
      <c r="D2" s="14">
        <v>2021</v>
      </c>
      <c r="E2" s="14">
        <v>2022</v>
      </c>
      <c r="F2" s="14">
        <v>2024</v>
      </c>
      <c r="G2" s="24">
        <v>2025</v>
      </c>
      <c r="H2" s="8"/>
      <c r="I2" s="8"/>
    </row>
    <row r="3" spans="1:9" ht="15" customHeight="1" thickBot="1" x14ac:dyDescent="0.4">
      <c r="A3" s="51" t="s">
        <v>215</v>
      </c>
      <c r="B3" s="122" t="s">
        <v>216</v>
      </c>
      <c r="C3" s="123"/>
      <c r="D3" s="123"/>
      <c r="E3" s="123"/>
      <c r="F3" s="123"/>
      <c r="G3" s="124"/>
    </row>
    <row r="4" spans="1:9" x14ac:dyDescent="0.35">
      <c r="A4" s="22" t="s">
        <v>217</v>
      </c>
      <c r="B4" s="15">
        <f>'p&amp;l'!B34</f>
        <v>1968.44</v>
      </c>
      <c r="C4" s="16">
        <f>'p&amp;l'!C34</f>
        <v>2082.4299999999998</v>
      </c>
      <c r="D4" s="16">
        <f>'p&amp;l'!D34</f>
        <v>2118.41</v>
      </c>
      <c r="E4" s="16">
        <f>'p&amp;l'!E34</f>
        <v>2390.52</v>
      </c>
      <c r="F4" s="16">
        <f>'p&amp;l'!F34</f>
        <v>3932.84</v>
      </c>
      <c r="G4" s="25">
        <f>'p&amp;l'!G34</f>
        <v>3314.5</v>
      </c>
    </row>
    <row r="5" spans="1:9" x14ac:dyDescent="0.35">
      <c r="A5" s="22" t="s">
        <v>218</v>
      </c>
      <c r="B5" s="11">
        <f>'p&amp;l'!B7</f>
        <v>12615.78</v>
      </c>
      <c r="C5" s="10">
        <f>'p&amp;l'!C7</f>
        <v>13495.88</v>
      </c>
      <c r="D5" s="10">
        <f>'p&amp;l'!D7</f>
        <v>14860.74</v>
      </c>
      <c r="E5" s="10">
        <f>'p&amp;l'!E7</f>
        <v>16997.96</v>
      </c>
      <c r="F5" s="10">
        <f>'p&amp;l'!F7</f>
        <v>24541.85</v>
      </c>
      <c r="G5" s="26">
        <f>'p&amp;l'!G7</f>
        <v>20260.419999999998</v>
      </c>
    </row>
    <row r="6" spans="1:9" x14ac:dyDescent="0.35">
      <c r="A6" s="22"/>
      <c r="B6" s="12">
        <f t="shared" ref="B6:G6" si="0">B4/B5*100</f>
        <v>15.6029987840625</v>
      </c>
      <c r="C6" s="9">
        <f t="shared" si="0"/>
        <v>15.430116450353736</v>
      </c>
      <c r="D6" s="9">
        <f t="shared" si="0"/>
        <v>14.255077472588848</v>
      </c>
      <c r="E6" s="9">
        <f t="shared" si="0"/>
        <v>14.063569981338938</v>
      </c>
      <c r="F6" s="9">
        <f t="shared" si="0"/>
        <v>16.02503478751602</v>
      </c>
      <c r="G6" s="27">
        <f t="shared" si="0"/>
        <v>16.359483169648016</v>
      </c>
    </row>
    <row r="7" spans="1:9" x14ac:dyDescent="0.35">
      <c r="A7" s="19"/>
      <c r="G7" s="20"/>
    </row>
    <row r="8" spans="1:9" x14ac:dyDescent="0.35">
      <c r="A8" s="52" t="s">
        <v>219</v>
      </c>
      <c r="B8" s="131" t="s">
        <v>220</v>
      </c>
      <c r="C8" s="126"/>
      <c r="D8" s="126"/>
      <c r="E8" s="126"/>
      <c r="F8" s="126"/>
      <c r="G8" s="127"/>
    </row>
    <row r="9" spans="1:9" x14ac:dyDescent="0.35">
      <c r="A9" s="9" t="s">
        <v>221</v>
      </c>
      <c r="B9" s="9">
        <f>'p&amp;l'!B14</f>
        <v>129.12</v>
      </c>
      <c r="C9" s="9">
        <f>'p&amp;l'!C14</f>
        <v>164.18</v>
      </c>
      <c r="D9" s="9">
        <f>'p&amp;l'!D14</f>
        <v>201.68</v>
      </c>
      <c r="E9" s="9">
        <f>'p&amp;l'!E14</f>
        <v>154.57</v>
      </c>
      <c r="F9" s="9">
        <f>'p&amp;l'!F14</f>
        <v>145.49</v>
      </c>
      <c r="G9" s="9">
        <f>'p&amp;l'!G14</f>
        <v>136</v>
      </c>
    </row>
    <row r="10" spans="1:9" x14ac:dyDescent="0.35">
      <c r="A10" s="9" t="s">
        <v>222</v>
      </c>
      <c r="B10" s="10">
        <f>'p&amp;l'!B24</f>
        <v>2673.49</v>
      </c>
      <c r="C10" s="10">
        <f>'p&amp;l'!C24</f>
        <v>2812.79</v>
      </c>
      <c r="D10" s="10">
        <f>'p&amp;l'!D24</f>
        <v>2857.32</v>
      </c>
      <c r="E10" s="10">
        <f>'p&amp;l'!E24</f>
        <v>3255.97</v>
      </c>
      <c r="F10" s="10">
        <f>'p&amp;l'!F24</f>
        <v>5288.87</v>
      </c>
      <c r="G10" s="10">
        <f>'p&amp;l'!G24</f>
        <v>4447.47</v>
      </c>
    </row>
    <row r="11" spans="1:9" x14ac:dyDescent="0.35">
      <c r="A11" s="50" t="s">
        <v>223</v>
      </c>
      <c r="B11" s="10">
        <f t="shared" ref="B11:G11" si="1">SUM(B9:B10)</f>
        <v>2802.6099999999997</v>
      </c>
      <c r="C11" s="10">
        <f t="shared" si="1"/>
        <v>2976.97</v>
      </c>
      <c r="D11" s="10">
        <f t="shared" si="1"/>
        <v>3059</v>
      </c>
      <c r="E11" s="10">
        <f t="shared" si="1"/>
        <v>3410.54</v>
      </c>
      <c r="F11" s="10">
        <f t="shared" si="1"/>
        <v>5434.36</v>
      </c>
      <c r="G11" s="10">
        <f t="shared" si="1"/>
        <v>4583.47</v>
      </c>
    </row>
    <row r="12" spans="1:9" x14ac:dyDescent="0.35">
      <c r="A12" s="9" t="s">
        <v>224</v>
      </c>
      <c r="B12" s="10">
        <f t="shared" ref="B12:G12" si="2">B5</f>
        <v>12615.78</v>
      </c>
      <c r="C12" s="10">
        <f t="shared" si="2"/>
        <v>13495.88</v>
      </c>
      <c r="D12" s="10">
        <f t="shared" si="2"/>
        <v>14860.74</v>
      </c>
      <c r="E12" s="10">
        <f t="shared" si="2"/>
        <v>16997.96</v>
      </c>
      <c r="F12" s="10">
        <f t="shared" si="2"/>
        <v>24541.85</v>
      </c>
      <c r="G12" s="10">
        <f t="shared" si="2"/>
        <v>20260.419999999998</v>
      </c>
    </row>
    <row r="13" spans="1:9" x14ac:dyDescent="0.35">
      <c r="A13" s="9"/>
      <c r="B13" s="9">
        <f t="shared" ref="B13:G13" si="3">B11/B12*100</f>
        <v>22.215114721404461</v>
      </c>
      <c r="C13" s="9">
        <f t="shared" si="3"/>
        <v>22.058361514773399</v>
      </c>
      <c r="D13" s="9">
        <f t="shared" si="3"/>
        <v>20.584439267492733</v>
      </c>
      <c r="E13" s="9">
        <f t="shared" si="3"/>
        <v>20.06440772892747</v>
      </c>
      <c r="F13" s="9">
        <f t="shared" si="3"/>
        <v>22.143236960538832</v>
      </c>
      <c r="G13" s="9">
        <f t="shared" si="3"/>
        <v>22.622778797280613</v>
      </c>
    </row>
    <row r="14" spans="1:9" x14ac:dyDescent="0.35">
      <c r="A14" s="19"/>
      <c r="G14" s="20"/>
    </row>
    <row r="15" spans="1:9" x14ac:dyDescent="0.35">
      <c r="A15" s="52" t="s">
        <v>225</v>
      </c>
      <c r="B15" s="131" t="s">
        <v>226</v>
      </c>
      <c r="C15" s="126"/>
      <c r="D15" s="126"/>
      <c r="E15" s="126"/>
      <c r="F15" s="126"/>
      <c r="G15" s="127"/>
    </row>
    <row r="16" spans="1:9" x14ac:dyDescent="0.35">
      <c r="A16" s="9" t="s">
        <v>217</v>
      </c>
      <c r="B16" s="10">
        <f t="shared" ref="B16:G16" si="4">B4</f>
        <v>1968.44</v>
      </c>
      <c r="C16" s="10">
        <f t="shared" si="4"/>
        <v>2082.4299999999998</v>
      </c>
      <c r="D16" s="10">
        <f t="shared" si="4"/>
        <v>2118.41</v>
      </c>
      <c r="E16" s="10">
        <f t="shared" si="4"/>
        <v>2390.52</v>
      </c>
      <c r="F16" s="10">
        <f t="shared" si="4"/>
        <v>3932.84</v>
      </c>
      <c r="G16" s="10">
        <f t="shared" si="4"/>
        <v>3314.5</v>
      </c>
    </row>
    <row r="17" spans="1:12" x14ac:dyDescent="0.35">
      <c r="A17" s="9" t="s">
        <v>227</v>
      </c>
      <c r="B17" s="10">
        <f>balance!B77</f>
        <v>1918.87</v>
      </c>
      <c r="C17" s="10">
        <f>balance!C77</f>
        <v>2019.34</v>
      </c>
      <c r="D17" s="10">
        <f>balance!D77</f>
        <v>1946.38</v>
      </c>
      <c r="E17" s="10">
        <f>balance!E77</f>
        <v>2459.17</v>
      </c>
      <c r="F17" s="10">
        <f>balance!F77</f>
        <v>3340.89</v>
      </c>
      <c r="G17" s="10">
        <f>balance!G77</f>
        <v>4117.1499999999996</v>
      </c>
    </row>
    <row r="18" spans="1:12" x14ac:dyDescent="0.35">
      <c r="A18" s="9"/>
      <c r="B18" s="9">
        <f t="shared" ref="B18:G18" si="5">B16/B17</f>
        <v>1.0258329120784628</v>
      </c>
      <c r="C18" s="9">
        <f t="shared" si="5"/>
        <v>1.0312428813374666</v>
      </c>
      <c r="D18" s="9">
        <f t="shared" si="5"/>
        <v>1.0883845908815337</v>
      </c>
      <c r="E18" s="9">
        <f t="shared" si="5"/>
        <v>0.97208407714798084</v>
      </c>
      <c r="F18" s="9">
        <f t="shared" si="5"/>
        <v>1.1771833254013153</v>
      </c>
      <c r="G18" s="9">
        <f t="shared" si="5"/>
        <v>0.80504718069538406</v>
      </c>
    </row>
    <row r="19" spans="1:12" x14ac:dyDescent="0.35">
      <c r="A19" s="19"/>
      <c r="G19" s="20"/>
    </row>
    <row r="20" spans="1:12" x14ac:dyDescent="0.35">
      <c r="A20" s="53" t="s">
        <v>228</v>
      </c>
      <c r="B20" s="125" t="s">
        <v>229</v>
      </c>
      <c r="C20" s="126"/>
      <c r="D20" s="126"/>
      <c r="E20" s="126"/>
      <c r="F20" s="126"/>
      <c r="G20" s="127"/>
    </row>
    <row r="21" spans="1:12" x14ac:dyDescent="0.35">
      <c r="A21" s="50" t="s">
        <v>230</v>
      </c>
      <c r="B21" s="10">
        <f t="shared" ref="B21:G21" si="6">B11</f>
        <v>2802.6099999999997</v>
      </c>
      <c r="C21" s="10">
        <f t="shared" si="6"/>
        <v>2976.97</v>
      </c>
      <c r="D21" s="10">
        <f t="shared" si="6"/>
        <v>3059</v>
      </c>
      <c r="E21" s="10">
        <f t="shared" si="6"/>
        <v>3410.54</v>
      </c>
      <c r="F21" s="10">
        <f t="shared" si="6"/>
        <v>5434.36</v>
      </c>
      <c r="G21" s="10">
        <f t="shared" si="6"/>
        <v>4583.47</v>
      </c>
    </row>
    <row r="22" spans="1:12" x14ac:dyDescent="0.35">
      <c r="A22" s="9" t="s">
        <v>231</v>
      </c>
      <c r="B22" s="10">
        <f>balance!B58</f>
        <v>7172.94</v>
      </c>
      <c r="C22" s="10">
        <f>balance!C58</f>
        <v>7899.73</v>
      </c>
      <c r="D22" s="10">
        <f>balance!D58</f>
        <v>8234.1299999999992</v>
      </c>
      <c r="E22" s="10">
        <f>balance!E58</f>
        <v>8978.74</v>
      </c>
      <c r="F22" s="10">
        <f>balance!F58</f>
        <v>10523.06</v>
      </c>
      <c r="G22" s="10">
        <f>balance!G58</f>
        <v>12323.89</v>
      </c>
    </row>
    <row r="23" spans="1:12" x14ac:dyDescent="0.35">
      <c r="A23" s="9" t="s">
        <v>232</v>
      </c>
      <c r="B23" s="10">
        <f>balance!B105</f>
        <v>2190.5500000000002</v>
      </c>
      <c r="C23" s="10">
        <f>balance!C105</f>
        <v>2492.5500000000002</v>
      </c>
      <c r="D23" s="10">
        <f>balance!D105</f>
        <v>2764.74</v>
      </c>
      <c r="E23" s="10">
        <f>balance!E105</f>
        <v>3079.75</v>
      </c>
      <c r="F23" s="10">
        <f>balance!F105</f>
        <v>3956.07</v>
      </c>
      <c r="G23" s="10">
        <f>balance!G105</f>
        <v>4685.3500000000004</v>
      </c>
    </row>
    <row r="24" spans="1:12" x14ac:dyDescent="0.35">
      <c r="A24" s="50" t="s">
        <v>233</v>
      </c>
      <c r="B24" s="10">
        <f t="shared" ref="B24:G24" si="7">SUM(B22:B23)</f>
        <v>9363.49</v>
      </c>
      <c r="C24" s="10">
        <f t="shared" si="7"/>
        <v>10392.279999999999</v>
      </c>
      <c r="D24" s="10">
        <f t="shared" si="7"/>
        <v>10998.869999999999</v>
      </c>
      <c r="E24" s="10">
        <f t="shared" si="7"/>
        <v>12058.49</v>
      </c>
      <c r="F24" s="10">
        <f t="shared" si="7"/>
        <v>14479.13</v>
      </c>
      <c r="G24" s="10">
        <f t="shared" si="7"/>
        <v>17009.239999999998</v>
      </c>
    </row>
    <row r="25" spans="1:12" x14ac:dyDescent="0.35">
      <c r="A25" s="9"/>
      <c r="B25" s="9">
        <f t="shared" ref="B25:G25" si="8">B21/B24*100</f>
        <v>29.931254265236568</v>
      </c>
      <c r="C25" s="9">
        <f t="shared" si="8"/>
        <v>28.645975666552481</v>
      </c>
      <c r="D25" s="9">
        <f t="shared" si="8"/>
        <v>27.811947954653526</v>
      </c>
      <c r="E25" s="9">
        <f t="shared" si="8"/>
        <v>28.283309104207905</v>
      </c>
      <c r="F25" s="9">
        <f t="shared" si="8"/>
        <v>37.532365549587574</v>
      </c>
      <c r="G25" s="9">
        <f t="shared" si="8"/>
        <v>26.946941779879648</v>
      </c>
    </row>
    <row r="27" spans="1:12" x14ac:dyDescent="0.35">
      <c r="A27" s="132" t="s">
        <v>234</v>
      </c>
      <c r="B27" s="126"/>
      <c r="C27" s="126"/>
      <c r="D27" s="126"/>
      <c r="E27" s="126"/>
      <c r="F27" s="126"/>
      <c r="G27" s="127"/>
    </row>
    <row r="28" spans="1:12" x14ac:dyDescent="0.35">
      <c r="A28" s="52" t="s">
        <v>235</v>
      </c>
      <c r="B28" s="131" t="s">
        <v>236</v>
      </c>
      <c r="C28" s="126"/>
      <c r="D28" s="126"/>
      <c r="E28" s="126"/>
      <c r="F28" s="126"/>
      <c r="G28" s="127"/>
    </row>
    <row r="29" spans="1:12" x14ac:dyDescent="0.35">
      <c r="A29" s="9" t="s">
        <v>237</v>
      </c>
      <c r="B29" s="10">
        <f>balance!B49</f>
        <v>3817.17</v>
      </c>
      <c r="C29" s="10">
        <f>balance!C49</f>
        <v>4185.08</v>
      </c>
      <c r="D29" s="10">
        <f>balance!D49</f>
        <v>2762.18</v>
      </c>
      <c r="E29" s="10">
        <f>balance!E49</f>
        <v>3490.15</v>
      </c>
      <c r="F29" s="10">
        <f>balance!F49</f>
        <v>3494.72</v>
      </c>
      <c r="G29" s="10">
        <f>balance!G49</f>
        <v>3734.16</v>
      </c>
    </row>
    <row r="30" spans="1:12" x14ac:dyDescent="0.35">
      <c r="A30" s="9" t="s">
        <v>232</v>
      </c>
      <c r="B30" s="10">
        <f t="shared" ref="B30:G30" si="9">B23</f>
        <v>2190.5500000000002</v>
      </c>
      <c r="C30" s="10">
        <f t="shared" si="9"/>
        <v>2492.5500000000002</v>
      </c>
      <c r="D30" s="10">
        <f t="shared" si="9"/>
        <v>2764.74</v>
      </c>
      <c r="E30" s="10">
        <f t="shared" si="9"/>
        <v>3079.75</v>
      </c>
      <c r="F30" s="10">
        <f t="shared" si="9"/>
        <v>3956.07</v>
      </c>
      <c r="G30" s="10">
        <f t="shared" si="9"/>
        <v>4685.3500000000004</v>
      </c>
      <c r="K30" s="17" t="s">
        <v>238</v>
      </c>
      <c r="L30" s="17" t="s">
        <v>239</v>
      </c>
    </row>
    <row r="31" spans="1:12" x14ac:dyDescent="0.35">
      <c r="A31" s="9"/>
      <c r="B31" s="9">
        <f t="shared" ref="B31:G31" si="10">B29/B30</f>
        <v>1.7425623701810047</v>
      </c>
      <c r="C31" s="9">
        <f t="shared" si="10"/>
        <v>1.6790355258670837</v>
      </c>
      <c r="D31" s="9">
        <f t="shared" si="10"/>
        <v>0.99907405397975946</v>
      </c>
      <c r="E31" s="9">
        <f t="shared" si="10"/>
        <v>1.1332575696079228</v>
      </c>
      <c r="F31" s="9">
        <f t="shared" si="10"/>
        <v>0.88338173995910074</v>
      </c>
      <c r="G31" s="9">
        <f t="shared" si="10"/>
        <v>0.7969863510730254</v>
      </c>
      <c r="K31" s="18" t="s">
        <v>240</v>
      </c>
      <c r="L31" s="18" t="s">
        <v>241</v>
      </c>
    </row>
    <row r="32" spans="1:12" x14ac:dyDescent="0.35">
      <c r="A32" s="19"/>
      <c r="G32" s="20"/>
      <c r="K32" s="18" t="s">
        <v>242</v>
      </c>
      <c r="L32" s="18" t="s">
        <v>243</v>
      </c>
    </row>
    <row r="33" spans="1:7" x14ac:dyDescent="0.35">
      <c r="A33" s="52" t="s">
        <v>244</v>
      </c>
      <c r="B33" s="9" t="s">
        <v>245</v>
      </c>
      <c r="C33" s="9"/>
      <c r="D33" s="9"/>
      <c r="E33" s="9"/>
      <c r="F33" s="9"/>
      <c r="G33" s="9"/>
    </row>
    <row r="34" spans="1:7" x14ac:dyDescent="0.35">
      <c r="A34" s="9" t="s">
        <v>237</v>
      </c>
      <c r="B34" s="10">
        <f t="shared" ref="B34:G34" si="11">B29</f>
        <v>3817.17</v>
      </c>
      <c r="C34" s="10">
        <f t="shared" si="11"/>
        <v>4185.08</v>
      </c>
      <c r="D34" s="10">
        <f t="shared" si="11"/>
        <v>2762.18</v>
      </c>
      <c r="E34" s="10">
        <f t="shared" si="11"/>
        <v>3490.15</v>
      </c>
      <c r="F34" s="10">
        <f t="shared" si="11"/>
        <v>3494.72</v>
      </c>
      <c r="G34" s="10">
        <f t="shared" si="11"/>
        <v>3734.16</v>
      </c>
    </row>
    <row r="35" spans="1:7" x14ac:dyDescent="0.35">
      <c r="A35" s="9" t="s">
        <v>246</v>
      </c>
      <c r="B35" s="10">
        <f>balance!B36</f>
        <v>1283.07</v>
      </c>
      <c r="C35" s="10">
        <f>balance!C36</f>
        <v>1416.48</v>
      </c>
      <c r="D35" s="10">
        <f>balance!D36</f>
        <v>1592.65</v>
      </c>
      <c r="E35" s="10">
        <f>balance!E36</f>
        <v>1928.77</v>
      </c>
      <c r="F35" s="10">
        <f>balance!F36</f>
        <v>2089.36</v>
      </c>
      <c r="G35" s="10">
        <f>balance!G36</f>
        <v>2850.14</v>
      </c>
    </row>
    <row r="36" spans="1:7" x14ac:dyDescent="0.35">
      <c r="A36" s="9" t="s">
        <v>232</v>
      </c>
      <c r="B36" s="10">
        <f t="shared" ref="B36:G36" si="12">B30</f>
        <v>2190.5500000000002</v>
      </c>
      <c r="C36" s="10">
        <f t="shared" si="12"/>
        <v>2492.5500000000002</v>
      </c>
      <c r="D36" s="10">
        <f t="shared" si="12"/>
        <v>2764.74</v>
      </c>
      <c r="E36" s="10">
        <f t="shared" si="12"/>
        <v>3079.75</v>
      </c>
      <c r="F36" s="10">
        <f t="shared" si="12"/>
        <v>3956.07</v>
      </c>
      <c r="G36" s="10">
        <f t="shared" si="12"/>
        <v>4685.3500000000004</v>
      </c>
    </row>
    <row r="37" spans="1:7" x14ac:dyDescent="0.35">
      <c r="A37" s="9"/>
      <c r="B37" s="9">
        <f t="shared" ref="B37:G37" si="13">(B34-B35)/B36</f>
        <v>1.1568327588961678</v>
      </c>
      <c r="C37" s="9">
        <f t="shared" si="13"/>
        <v>1.1107500351046116</v>
      </c>
      <c r="D37" s="9">
        <f t="shared" si="13"/>
        <v>0.42301626916093371</v>
      </c>
      <c r="E37" s="9">
        <f t="shared" si="13"/>
        <v>0.50698270963552239</v>
      </c>
      <c r="F37" s="9">
        <f t="shared" si="13"/>
        <v>0.35524143910497025</v>
      </c>
      <c r="G37" s="9">
        <f t="shared" si="13"/>
        <v>0.18867747340113331</v>
      </c>
    </row>
    <row r="38" spans="1:7" ht="15" customHeight="1" thickBot="1" x14ac:dyDescent="0.4"/>
    <row r="39" spans="1:7" x14ac:dyDescent="0.35">
      <c r="A39" s="128" t="s">
        <v>247</v>
      </c>
      <c r="B39" s="129"/>
      <c r="C39" s="129"/>
      <c r="D39" s="129"/>
      <c r="E39" s="129"/>
      <c r="F39" s="129"/>
      <c r="G39" s="130"/>
    </row>
    <row r="40" spans="1:7" x14ac:dyDescent="0.35">
      <c r="A40" s="52" t="s">
        <v>248</v>
      </c>
      <c r="B40" s="9" t="s">
        <v>249</v>
      </c>
      <c r="C40" s="9"/>
      <c r="D40" s="9"/>
      <c r="E40" s="9"/>
      <c r="F40" s="9"/>
      <c r="G40" s="9"/>
    </row>
    <row r="41" spans="1:7" x14ac:dyDescent="0.35">
      <c r="A41" s="9" t="s">
        <v>250</v>
      </c>
      <c r="B41" s="10">
        <f t="shared" ref="B41:G41" si="14">B12</f>
        <v>12615.78</v>
      </c>
      <c r="C41" s="10">
        <f t="shared" si="14"/>
        <v>13495.88</v>
      </c>
      <c r="D41" s="10">
        <f t="shared" si="14"/>
        <v>14860.74</v>
      </c>
      <c r="E41" s="10">
        <f t="shared" si="14"/>
        <v>16997.96</v>
      </c>
      <c r="F41" s="10">
        <f t="shared" si="14"/>
        <v>24541.85</v>
      </c>
      <c r="G41" s="10">
        <f t="shared" si="14"/>
        <v>20260.419999999998</v>
      </c>
    </row>
    <row r="42" spans="1:7" x14ac:dyDescent="0.35">
      <c r="A42" s="9" t="s">
        <v>231</v>
      </c>
      <c r="B42" s="10">
        <f t="shared" ref="B42:G42" si="15">B22</f>
        <v>7172.94</v>
      </c>
      <c r="C42" s="10">
        <f t="shared" si="15"/>
        <v>7899.73</v>
      </c>
      <c r="D42" s="10">
        <f t="shared" si="15"/>
        <v>8234.1299999999992</v>
      </c>
      <c r="E42" s="10">
        <f t="shared" si="15"/>
        <v>8978.74</v>
      </c>
      <c r="F42" s="10">
        <f t="shared" si="15"/>
        <v>10523.06</v>
      </c>
      <c r="G42" s="10">
        <f t="shared" si="15"/>
        <v>12323.89</v>
      </c>
    </row>
    <row r="43" spans="1:7" x14ac:dyDescent="0.35">
      <c r="A43" s="9"/>
      <c r="B43" s="9">
        <f t="shared" ref="B43:G43" si="16">B41/B42</f>
        <v>1.7588018302118797</v>
      </c>
      <c r="C43" s="9">
        <f t="shared" si="16"/>
        <v>1.7083976287797178</v>
      </c>
      <c r="D43" s="9">
        <f t="shared" si="16"/>
        <v>1.8047735462034242</v>
      </c>
      <c r="E43" s="9">
        <f t="shared" si="16"/>
        <v>1.8931342259604353</v>
      </c>
      <c r="F43" s="9">
        <f t="shared" si="16"/>
        <v>2.3321970985625855</v>
      </c>
      <c r="G43" s="9">
        <f t="shared" si="16"/>
        <v>1.6439955241405109</v>
      </c>
    </row>
    <row r="44" spans="1:7" x14ac:dyDescent="0.35">
      <c r="A44" s="19"/>
      <c r="G44" s="20"/>
    </row>
    <row r="45" spans="1:7" x14ac:dyDescent="0.35">
      <c r="A45" s="52" t="s">
        <v>251</v>
      </c>
      <c r="B45" s="9" t="s">
        <v>252</v>
      </c>
      <c r="C45" s="9"/>
      <c r="D45" s="9"/>
      <c r="E45" s="9"/>
      <c r="F45" s="9"/>
      <c r="G45" s="9"/>
    </row>
    <row r="46" spans="1:7" x14ac:dyDescent="0.35">
      <c r="A46" s="9" t="s">
        <v>253</v>
      </c>
      <c r="B46" s="10">
        <f t="shared" ref="B46:G46" si="17">B35</f>
        <v>1283.07</v>
      </c>
      <c r="C46" s="10">
        <f t="shared" si="17"/>
        <v>1416.48</v>
      </c>
      <c r="D46" s="10">
        <f t="shared" si="17"/>
        <v>1592.65</v>
      </c>
      <c r="E46" s="10">
        <f t="shared" si="17"/>
        <v>1928.77</v>
      </c>
      <c r="F46" s="10">
        <f t="shared" si="17"/>
        <v>2089.36</v>
      </c>
      <c r="G46" s="10">
        <f t="shared" si="17"/>
        <v>2850.14</v>
      </c>
    </row>
    <row r="47" spans="1:7" x14ac:dyDescent="0.35">
      <c r="A47" s="9" t="s">
        <v>218</v>
      </c>
      <c r="B47" s="10">
        <f t="shared" ref="B47:G47" si="18">B41</f>
        <v>12615.78</v>
      </c>
      <c r="C47" s="10">
        <f t="shared" si="18"/>
        <v>13495.88</v>
      </c>
      <c r="D47" s="10">
        <f t="shared" si="18"/>
        <v>14860.74</v>
      </c>
      <c r="E47" s="10">
        <f t="shared" si="18"/>
        <v>16997.96</v>
      </c>
      <c r="F47" s="10">
        <f t="shared" si="18"/>
        <v>24541.85</v>
      </c>
      <c r="G47" s="10">
        <f t="shared" si="18"/>
        <v>20260.419999999998</v>
      </c>
    </row>
    <row r="48" spans="1:7" x14ac:dyDescent="0.35">
      <c r="A48" s="9"/>
      <c r="B48" s="9">
        <f t="shared" ref="B48:G48" si="19">B46/B47*365</f>
        <v>37.121806975074072</v>
      </c>
      <c r="C48" s="9">
        <f t="shared" si="19"/>
        <v>38.309113596149345</v>
      </c>
      <c r="D48" s="9">
        <f t="shared" si="19"/>
        <v>39.117651610888828</v>
      </c>
      <c r="E48" s="9">
        <f t="shared" si="19"/>
        <v>41.416796486166575</v>
      </c>
      <c r="F48" s="9">
        <f t="shared" si="19"/>
        <v>31.074120329152045</v>
      </c>
      <c r="G48" s="9">
        <f t="shared" si="19"/>
        <v>51.346472580528932</v>
      </c>
    </row>
    <row r="49" spans="1:11" x14ac:dyDescent="0.35">
      <c r="A49" s="19"/>
      <c r="G49" s="20"/>
      <c r="K49" t="s">
        <v>254</v>
      </c>
    </row>
    <row r="50" spans="1:11" x14ac:dyDescent="0.35">
      <c r="A50" s="19"/>
      <c r="G50" s="20"/>
    </row>
    <row r="51" spans="1:11" x14ac:dyDescent="0.35">
      <c r="A51" s="52" t="s">
        <v>255</v>
      </c>
      <c r="B51" s="9" t="s">
        <v>256</v>
      </c>
      <c r="C51" s="9"/>
      <c r="D51" s="9"/>
      <c r="E51" s="9"/>
      <c r="F51" s="9"/>
      <c r="G51" s="9"/>
    </row>
    <row r="52" spans="1:11" x14ac:dyDescent="0.35">
      <c r="A52" s="9" t="s">
        <v>257</v>
      </c>
      <c r="B52" s="9">
        <f>balance!B40</f>
        <v>124.33</v>
      </c>
      <c r="C52" s="9">
        <f>balance!C40</f>
        <v>164.93</v>
      </c>
      <c r="D52" s="9">
        <f>balance!D40</f>
        <v>165.97</v>
      </c>
      <c r="E52" s="9">
        <f>balance!E40</f>
        <v>191.89</v>
      </c>
      <c r="F52" s="9">
        <f>balance!F40</f>
        <v>300.45999999999998</v>
      </c>
      <c r="G52" s="9">
        <f>balance!G40</f>
        <v>363.15</v>
      </c>
    </row>
    <row r="53" spans="1:11" x14ac:dyDescent="0.35">
      <c r="A53" s="9" t="s">
        <v>218</v>
      </c>
      <c r="B53" s="10">
        <f t="shared" ref="B53:G53" si="20">B41</f>
        <v>12615.78</v>
      </c>
      <c r="C53" s="10">
        <f t="shared" si="20"/>
        <v>13495.88</v>
      </c>
      <c r="D53" s="10">
        <f t="shared" si="20"/>
        <v>14860.74</v>
      </c>
      <c r="E53" s="10">
        <f t="shared" si="20"/>
        <v>16997.96</v>
      </c>
      <c r="F53" s="10">
        <f t="shared" si="20"/>
        <v>24541.85</v>
      </c>
      <c r="G53" s="10">
        <f t="shared" si="20"/>
        <v>20260.419999999998</v>
      </c>
    </row>
    <row r="54" spans="1:11" x14ac:dyDescent="0.35">
      <c r="A54" s="9"/>
      <c r="B54" s="9">
        <f t="shared" ref="B54:G54" si="21">B52/B53*365</f>
        <v>3.597118053739047</v>
      </c>
      <c r="C54" s="9">
        <f t="shared" si="21"/>
        <v>4.4605798213973449</v>
      </c>
      <c r="D54" s="9">
        <f t="shared" si="21"/>
        <v>4.0764490866538274</v>
      </c>
      <c r="E54" s="9">
        <f t="shared" si="21"/>
        <v>4.1204856347467578</v>
      </c>
      <c r="F54" s="9">
        <f t="shared" si="21"/>
        <v>4.4686077047981305</v>
      </c>
      <c r="G54" s="9">
        <f t="shared" si="21"/>
        <v>6.5423002089788858</v>
      </c>
    </row>
    <row r="55" spans="1:11" x14ac:dyDescent="0.35">
      <c r="A55" s="19"/>
      <c r="G55" s="20"/>
    </row>
    <row r="56" spans="1:11" x14ac:dyDescent="0.35">
      <c r="A56" s="52" t="s">
        <v>258</v>
      </c>
      <c r="B56" s="9" t="s">
        <v>259</v>
      </c>
      <c r="C56" s="9"/>
      <c r="D56" s="9"/>
      <c r="E56" s="9"/>
      <c r="F56" s="9"/>
      <c r="G56" s="9"/>
    </row>
    <row r="57" spans="1:11" x14ac:dyDescent="0.35">
      <c r="A57" s="50" t="s">
        <v>260</v>
      </c>
      <c r="B57" s="10">
        <f>balance!B98</f>
        <v>1491.53</v>
      </c>
      <c r="C57" s="10">
        <f>balance!C98</f>
        <v>1516.58</v>
      </c>
      <c r="D57" s="10">
        <f>balance!D98</f>
        <v>1748.17</v>
      </c>
      <c r="E57" s="10">
        <f>balance!E98</f>
        <v>2120.94</v>
      </c>
      <c r="F57" s="10">
        <f>balance!F98</f>
        <v>2812.01</v>
      </c>
      <c r="G57" s="10">
        <f>balance!G98</f>
        <v>2623.81</v>
      </c>
    </row>
    <row r="58" spans="1:11" x14ac:dyDescent="0.35">
      <c r="A58" s="9" t="s">
        <v>261</v>
      </c>
      <c r="B58" s="10">
        <f>'p&amp;l'!B9</f>
        <v>5150.3</v>
      </c>
      <c r="C58" s="10">
        <f>'p&amp;l'!C9</f>
        <v>5554.24</v>
      </c>
      <c r="D58" s="10">
        <f>'p&amp;l'!D9</f>
        <v>6154.1</v>
      </c>
      <c r="E58" s="10">
        <f>'p&amp;l'!E9</f>
        <v>7652.11</v>
      </c>
      <c r="F58" s="10">
        <f>'p&amp;l'!F9</f>
        <v>10216.879999999999</v>
      </c>
      <c r="G58" s="10">
        <f>'p&amp;l'!G9</f>
        <v>8390.15</v>
      </c>
    </row>
    <row r="59" spans="1:11" x14ac:dyDescent="0.35">
      <c r="A59" s="9" t="s">
        <v>262</v>
      </c>
      <c r="B59" s="9">
        <f>'p&amp;l'!B11</f>
        <v>217.81</v>
      </c>
      <c r="C59" s="9">
        <f>'p&amp;l'!C11</f>
        <v>189</v>
      </c>
      <c r="D59" s="9">
        <f>'p&amp;l'!D11</f>
        <v>261.67</v>
      </c>
      <c r="E59" s="9">
        <f>'p&amp;l'!E11</f>
        <v>348.02</v>
      </c>
      <c r="F59" s="9">
        <f>'p&amp;l'!F11</f>
        <v>537.37</v>
      </c>
      <c r="G59" s="9">
        <f>'p&amp;l'!G11</f>
        <v>499.31</v>
      </c>
    </row>
    <row r="60" spans="1:11" x14ac:dyDescent="0.35">
      <c r="A60" s="9" t="s">
        <v>263</v>
      </c>
      <c r="B60" s="9">
        <f>'p&amp;l'!B12</f>
        <v>-144.19</v>
      </c>
      <c r="C60" s="9">
        <f>'p&amp;l'!C12</f>
        <v>-69.33</v>
      </c>
      <c r="D60" s="9">
        <f>'p&amp;l'!D12</f>
        <v>-67.59</v>
      </c>
      <c r="E60" s="9">
        <f>'p&amp;l'!E12</f>
        <v>-250.27</v>
      </c>
      <c r="F60" s="9">
        <f>'p&amp;l'!F12</f>
        <v>-45.68</v>
      </c>
      <c r="G60" s="9">
        <f>'p&amp;l'!G12</f>
        <v>-139.66</v>
      </c>
    </row>
    <row r="61" spans="1:11" x14ac:dyDescent="0.35">
      <c r="A61" s="50" t="s">
        <v>264</v>
      </c>
      <c r="B61" s="10">
        <f t="shared" ref="B61:G61" si="22">SUM(B58:B60)</f>
        <v>5223.920000000001</v>
      </c>
      <c r="C61" s="10">
        <f t="shared" si="22"/>
        <v>5673.91</v>
      </c>
      <c r="D61" s="10">
        <f t="shared" si="22"/>
        <v>6348.18</v>
      </c>
      <c r="E61" s="10">
        <f t="shared" si="22"/>
        <v>7749.8599999999988</v>
      </c>
      <c r="F61" s="10">
        <f t="shared" si="22"/>
        <v>10708.57</v>
      </c>
      <c r="G61" s="10">
        <f t="shared" si="22"/>
        <v>8749.7999999999993</v>
      </c>
    </row>
    <row r="62" spans="1:11" x14ac:dyDescent="0.35">
      <c r="A62" s="9"/>
      <c r="B62" s="9">
        <f t="shared" ref="B62:G62" si="23">B57/B61*365</f>
        <v>104.21454578171179</v>
      </c>
      <c r="C62" s="9">
        <f t="shared" si="23"/>
        <v>97.560888346836663</v>
      </c>
      <c r="D62" s="9">
        <f t="shared" si="23"/>
        <v>100.51417099074065</v>
      </c>
      <c r="E62" s="9">
        <f t="shared" si="23"/>
        <v>99.891236744921869</v>
      </c>
      <c r="F62" s="9">
        <f t="shared" si="23"/>
        <v>95.846938480114531</v>
      </c>
      <c r="G62" s="9">
        <f t="shared" si="23"/>
        <v>109.45286177969783</v>
      </c>
    </row>
    <row r="63" spans="1:11" ht="15" customHeight="1" thickBot="1" x14ac:dyDescent="0.4"/>
    <row r="64" spans="1:11" x14ac:dyDescent="0.35">
      <c r="A64" s="128" t="s">
        <v>265</v>
      </c>
      <c r="B64" s="129"/>
      <c r="C64" s="129"/>
      <c r="D64" s="129"/>
      <c r="E64" s="129"/>
      <c r="F64" s="129"/>
      <c r="G64" s="130"/>
    </row>
    <row r="65" spans="1:12" x14ac:dyDescent="0.35">
      <c r="A65" s="52" t="s">
        <v>266</v>
      </c>
      <c r="B65" s="9" t="s">
        <v>267</v>
      </c>
      <c r="C65" s="9"/>
      <c r="D65" s="9"/>
      <c r="E65" s="9"/>
      <c r="F65" s="9"/>
      <c r="G65" s="9"/>
    </row>
    <row r="66" spans="1:12" x14ac:dyDescent="0.35">
      <c r="A66" s="9" t="s">
        <v>268</v>
      </c>
      <c r="B66" s="9">
        <f>balance!B84</f>
        <v>53.14</v>
      </c>
      <c r="C66" s="9">
        <f>balance!C84</f>
        <v>31.72</v>
      </c>
      <c r="D66" s="9">
        <f>balance!D84</f>
        <v>27.47</v>
      </c>
      <c r="E66" s="9">
        <f>balance!E84</f>
        <v>26.66</v>
      </c>
      <c r="F66" s="9">
        <f>balance!F84</f>
        <v>25.48</v>
      </c>
      <c r="G66" s="9">
        <f>balance!G84</f>
        <v>22.48</v>
      </c>
    </row>
    <row r="67" spans="1:12" x14ac:dyDescent="0.35">
      <c r="A67" s="9" t="s">
        <v>269</v>
      </c>
      <c r="B67" s="9">
        <f>balance!B96</f>
        <v>0</v>
      </c>
      <c r="C67" s="9">
        <f>balance!C96</f>
        <v>3.12</v>
      </c>
      <c r="D67" s="9">
        <f>balance!D96</f>
        <v>6.59</v>
      </c>
      <c r="E67" s="9">
        <f>balance!E96</f>
        <v>3.37</v>
      </c>
      <c r="F67" s="9">
        <f>balance!F96</f>
        <v>5.66</v>
      </c>
      <c r="G67" s="9">
        <f>balance!G96</f>
        <v>730.86</v>
      </c>
    </row>
    <row r="68" spans="1:12" x14ac:dyDescent="0.35">
      <c r="A68" s="50" t="s">
        <v>270</v>
      </c>
      <c r="B68" s="9">
        <f t="shared" ref="B68:G68" si="24">SUM(B66:B67)</f>
        <v>53.14</v>
      </c>
      <c r="C68" s="9">
        <f t="shared" si="24"/>
        <v>34.839999999999996</v>
      </c>
      <c r="D68" s="9">
        <f t="shared" si="24"/>
        <v>34.06</v>
      </c>
      <c r="E68" s="9">
        <f t="shared" si="24"/>
        <v>30.03</v>
      </c>
      <c r="F68" s="9">
        <f t="shared" si="24"/>
        <v>31.14</v>
      </c>
      <c r="G68" s="9">
        <f t="shared" si="24"/>
        <v>753.34</v>
      </c>
    </row>
    <row r="69" spans="1:12" x14ac:dyDescent="0.35">
      <c r="A69" s="9" t="s">
        <v>271</v>
      </c>
      <c r="B69" s="10">
        <f t="shared" ref="B69:G69" si="25">B17</f>
        <v>1918.87</v>
      </c>
      <c r="C69" s="10">
        <f t="shared" si="25"/>
        <v>2019.34</v>
      </c>
      <c r="D69" s="10">
        <f t="shared" si="25"/>
        <v>1946.38</v>
      </c>
      <c r="E69" s="10">
        <f t="shared" si="25"/>
        <v>2459.17</v>
      </c>
      <c r="F69" s="10">
        <f t="shared" si="25"/>
        <v>3340.89</v>
      </c>
      <c r="G69" s="10">
        <f t="shared" si="25"/>
        <v>4117.1499999999996</v>
      </c>
    </row>
    <row r="70" spans="1:12" x14ac:dyDescent="0.35">
      <c r="A70" s="9"/>
      <c r="B70" s="9">
        <f t="shared" ref="B70:G70" si="26">B68/B69</f>
        <v>2.7693382042556298E-2</v>
      </c>
      <c r="C70" s="9">
        <f t="shared" si="26"/>
        <v>1.7253161924193051E-2</v>
      </c>
      <c r="D70" s="9">
        <f t="shared" si="26"/>
        <v>1.7499152272423678E-2</v>
      </c>
      <c r="E70" s="9">
        <f t="shared" si="26"/>
        <v>1.2211437192223392E-2</v>
      </c>
      <c r="F70" s="9">
        <f t="shared" si="26"/>
        <v>9.3208695886425486E-3</v>
      </c>
      <c r="G70" s="9">
        <f t="shared" si="26"/>
        <v>0.18297608782774494</v>
      </c>
    </row>
    <row r="71" spans="1:12" ht="15" customHeight="1" x14ac:dyDescent="0.35">
      <c r="A71" s="133"/>
      <c r="B71" s="118"/>
      <c r="C71" s="118"/>
      <c r="D71" s="118"/>
      <c r="E71" s="118"/>
      <c r="F71" s="118"/>
      <c r="G71" s="134"/>
      <c r="K71" s="17" t="s">
        <v>238</v>
      </c>
      <c r="L71" s="17" t="s">
        <v>239</v>
      </c>
    </row>
    <row r="72" spans="1:12" ht="14" customHeight="1" x14ac:dyDescent="0.35">
      <c r="A72" s="52" t="s">
        <v>272</v>
      </c>
      <c r="B72" s="9" t="s">
        <v>273</v>
      </c>
      <c r="C72" s="9"/>
      <c r="D72" s="9"/>
      <c r="E72" s="9"/>
      <c r="F72" s="9"/>
      <c r="G72" s="9"/>
      <c r="K72" s="18" t="s">
        <v>274</v>
      </c>
      <c r="L72" s="18" t="s">
        <v>275</v>
      </c>
    </row>
    <row r="73" spans="1:12" ht="12" customHeight="1" x14ac:dyDescent="0.35">
      <c r="A73" s="9" t="s">
        <v>230</v>
      </c>
      <c r="B73" s="10">
        <f t="shared" ref="B73:G73" si="27">B11</f>
        <v>2802.6099999999997</v>
      </c>
      <c r="C73" s="10">
        <f t="shared" si="27"/>
        <v>2976.97</v>
      </c>
      <c r="D73" s="10">
        <f t="shared" si="27"/>
        <v>3059</v>
      </c>
      <c r="E73" s="10">
        <f t="shared" si="27"/>
        <v>3410.54</v>
      </c>
      <c r="F73" s="10">
        <f t="shared" si="27"/>
        <v>5434.36</v>
      </c>
      <c r="G73" s="10">
        <f t="shared" si="27"/>
        <v>4583.47</v>
      </c>
      <c r="K73" s="18" t="s">
        <v>276</v>
      </c>
      <c r="L73" s="18" t="s">
        <v>277</v>
      </c>
    </row>
    <row r="74" spans="1:12" x14ac:dyDescent="0.35">
      <c r="A74" s="9" t="s">
        <v>278</v>
      </c>
      <c r="B74" s="9">
        <f t="shared" ref="B74:G74" si="28">B9</f>
        <v>129.12</v>
      </c>
      <c r="C74" s="9">
        <f t="shared" si="28"/>
        <v>164.18</v>
      </c>
      <c r="D74" s="9">
        <f t="shared" si="28"/>
        <v>201.68</v>
      </c>
      <c r="E74" s="9">
        <f t="shared" si="28"/>
        <v>154.57</v>
      </c>
      <c r="F74" s="9">
        <f t="shared" si="28"/>
        <v>145.49</v>
      </c>
      <c r="G74" s="9">
        <f t="shared" si="28"/>
        <v>136</v>
      </c>
    </row>
    <row r="75" spans="1:12" x14ac:dyDescent="0.35">
      <c r="A75" s="9"/>
      <c r="B75" s="9">
        <f t="shared" ref="B75:G75" si="29">B73/B74</f>
        <v>21.7054677819083</v>
      </c>
      <c r="C75" s="9">
        <f t="shared" si="29"/>
        <v>18.132354732610548</v>
      </c>
      <c r="D75" s="9">
        <f t="shared" si="29"/>
        <v>15.167592225307418</v>
      </c>
      <c r="E75" s="9">
        <f t="shared" si="29"/>
        <v>22.064695607168275</v>
      </c>
      <c r="F75" s="9">
        <f t="shared" si="29"/>
        <v>37.352120420647459</v>
      </c>
      <c r="G75" s="9">
        <f t="shared" si="29"/>
        <v>33.701985294117648</v>
      </c>
    </row>
    <row r="76" spans="1:12" x14ac:dyDescent="0.35">
      <c r="A76" s="19"/>
      <c r="G76" s="20"/>
    </row>
    <row r="77" spans="1:12" x14ac:dyDescent="0.35">
      <c r="A77" s="52" t="s">
        <v>279</v>
      </c>
      <c r="B77" s="9" t="s">
        <v>280</v>
      </c>
      <c r="C77" s="9"/>
      <c r="D77" s="9"/>
      <c r="E77" s="9"/>
      <c r="F77" s="9"/>
      <c r="G77" s="9"/>
    </row>
    <row r="78" spans="1:12" x14ac:dyDescent="0.35">
      <c r="A78" s="9" t="s">
        <v>270</v>
      </c>
      <c r="B78" s="9">
        <f t="shared" ref="B78:G78" si="30">B68</f>
        <v>53.14</v>
      </c>
      <c r="C78" s="9">
        <f t="shared" si="30"/>
        <v>34.839999999999996</v>
      </c>
      <c r="D78" s="9">
        <f t="shared" si="30"/>
        <v>34.06</v>
      </c>
      <c r="E78" s="9">
        <f t="shared" si="30"/>
        <v>30.03</v>
      </c>
      <c r="F78" s="9">
        <f t="shared" si="30"/>
        <v>31.14</v>
      </c>
      <c r="G78" s="9">
        <f t="shared" si="30"/>
        <v>753.34</v>
      </c>
    </row>
    <row r="79" spans="1:12" x14ac:dyDescent="0.35">
      <c r="A79" s="9" t="s">
        <v>281</v>
      </c>
      <c r="B79" s="10">
        <f t="shared" ref="B79:G79" si="31">B42</f>
        <v>7172.94</v>
      </c>
      <c r="C79" s="10">
        <f t="shared" si="31"/>
        <v>7899.73</v>
      </c>
      <c r="D79" s="10">
        <f t="shared" si="31"/>
        <v>8234.1299999999992</v>
      </c>
      <c r="E79" s="10">
        <f t="shared" si="31"/>
        <v>8978.74</v>
      </c>
      <c r="F79" s="10">
        <f t="shared" si="31"/>
        <v>10523.06</v>
      </c>
      <c r="G79" s="10">
        <f t="shared" si="31"/>
        <v>12323.89</v>
      </c>
    </row>
    <row r="80" spans="1:12" x14ac:dyDescent="0.35">
      <c r="A80" s="9"/>
      <c r="B80" s="9">
        <f t="shared" ref="B80:G80" si="32">B78/B79</f>
        <v>7.4083987876658666E-3</v>
      </c>
      <c r="C80" s="9">
        <f t="shared" si="32"/>
        <v>4.410277313275264E-3</v>
      </c>
      <c r="D80" s="9">
        <f t="shared" si="32"/>
        <v>4.1364418584598503E-3</v>
      </c>
      <c r="E80" s="9">
        <f t="shared" si="32"/>
        <v>3.3445672778140366E-3</v>
      </c>
      <c r="F80" s="9">
        <f t="shared" si="32"/>
        <v>2.9592152852877399E-3</v>
      </c>
      <c r="G80" s="9">
        <f t="shared" si="32"/>
        <v>6.112842617063282E-2</v>
      </c>
    </row>
  </sheetData>
  <mergeCells count="10">
    <mergeCell ref="A39:G39"/>
    <mergeCell ref="B8:G8"/>
    <mergeCell ref="A64:G64"/>
    <mergeCell ref="A71:G71"/>
    <mergeCell ref="B15:G15"/>
    <mergeCell ref="B3:G3"/>
    <mergeCell ref="B20:G20"/>
    <mergeCell ref="A1:G1"/>
    <mergeCell ref="B28:G28"/>
    <mergeCell ref="A27:G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43"/>
  <sheetViews>
    <sheetView workbookViewId="0">
      <selection activeCell="C37" sqref="C37"/>
    </sheetView>
  </sheetViews>
  <sheetFormatPr defaultRowHeight="14.5" x14ac:dyDescent="0.35"/>
  <cols>
    <col min="1" max="1" width="23.7265625" bestFit="1" customWidth="1"/>
    <col min="2" max="2" width="14.90625" customWidth="1"/>
    <col min="3" max="3" width="20.08984375" bestFit="1" customWidth="1"/>
    <col min="4" max="4" width="12.90625" bestFit="1" customWidth="1"/>
    <col min="5" max="5" width="14.26953125" bestFit="1" customWidth="1"/>
  </cols>
  <sheetData>
    <row r="1" spans="1:11" x14ac:dyDescent="0.35">
      <c r="A1" s="139" t="s">
        <v>282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</row>
    <row r="2" spans="1:11" x14ac:dyDescent="0.35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</row>
    <row r="3" spans="1:11" ht="15" customHeight="1" thickBot="1" x14ac:dyDescent="0.4">
      <c r="A3" s="136" t="s">
        <v>283</v>
      </c>
      <c r="B3" s="118"/>
      <c r="C3" s="118"/>
      <c r="D3" s="118"/>
      <c r="E3" s="118"/>
      <c r="F3" s="118"/>
      <c r="G3" s="118"/>
      <c r="H3" s="118"/>
      <c r="I3" s="118"/>
      <c r="J3" s="118"/>
    </row>
    <row r="4" spans="1:11" ht="15" customHeight="1" thickBot="1" x14ac:dyDescent="0.4">
      <c r="A4" s="138" t="s">
        <v>284</v>
      </c>
      <c r="B4" s="123"/>
      <c r="C4" s="123"/>
      <c r="D4" s="123"/>
      <c r="E4" s="123"/>
      <c r="F4" s="123"/>
      <c r="G4" s="123"/>
      <c r="H4" s="123"/>
      <c r="I4" s="123"/>
      <c r="J4" s="124"/>
    </row>
    <row r="5" spans="1:11" x14ac:dyDescent="0.35">
      <c r="A5" s="137" t="s">
        <v>285</v>
      </c>
      <c r="B5" s="118"/>
    </row>
    <row r="6" spans="1:11" x14ac:dyDescent="0.35">
      <c r="A6" t="s">
        <v>286</v>
      </c>
      <c r="B6" s="39">
        <v>7.0000000000000007E-2</v>
      </c>
    </row>
    <row r="7" spans="1:11" x14ac:dyDescent="0.35">
      <c r="A7" s="38" t="s">
        <v>287</v>
      </c>
      <c r="B7">
        <v>0.27</v>
      </c>
      <c r="E7" s="32" t="s">
        <v>288</v>
      </c>
    </row>
    <row r="8" spans="1:11" x14ac:dyDescent="0.35">
      <c r="A8" s="38" t="s">
        <v>289</v>
      </c>
      <c r="B8" s="39">
        <v>0.12</v>
      </c>
      <c r="C8" s="32"/>
      <c r="E8" s="32" t="s">
        <v>290</v>
      </c>
    </row>
    <row r="9" spans="1:11" x14ac:dyDescent="0.35">
      <c r="A9" s="28"/>
      <c r="C9" s="32"/>
      <c r="E9" s="32"/>
    </row>
    <row r="10" spans="1:11" x14ac:dyDescent="0.35">
      <c r="A10" s="135" t="s">
        <v>291</v>
      </c>
      <c r="B10" s="118"/>
      <c r="C10" s="32"/>
      <c r="E10" s="32"/>
    </row>
    <row r="11" spans="1:11" x14ac:dyDescent="0.35">
      <c r="A11" s="38" t="s">
        <v>292</v>
      </c>
      <c r="B11" s="39">
        <f>B8-B6</f>
        <v>4.9999999999999989E-2</v>
      </c>
      <c r="C11" s="32"/>
      <c r="E11" s="32"/>
    </row>
    <row r="12" spans="1:11" x14ac:dyDescent="0.35">
      <c r="A12" s="38" t="s">
        <v>287</v>
      </c>
      <c r="B12">
        <f>B7</f>
        <v>0.27</v>
      </c>
      <c r="C12" s="32"/>
      <c r="E12" s="32"/>
    </row>
    <row r="13" spans="1:11" x14ac:dyDescent="0.35">
      <c r="A13" s="40" t="s">
        <v>293</v>
      </c>
      <c r="B13" s="41">
        <f>B6+(B12*B11)</f>
        <v>8.3500000000000005E-2</v>
      </c>
    </row>
    <row r="15" spans="1:11" x14ac:dyDescent="0.35">
      <c r="A15" s="137" t="s">
        <v>294</v>
      </c>
      <c r="B15" s="118"/>
      <c r="C15" s="118"/>
    </row>
    <row r="16" spans="1:11" x14ac:dyDescent="0.35">
      <c r="A16" s="42" t="s">
        <v>295</v>
      </c>
      <c r="B16" s="42" t="s">
        <v>296</v>
      </c>
      <c r="C16" s="42"/>
    </row>
    <row r="17" spans="1:4" x14ac:dyDescent="0.35">
      <c r="A17" s="42" t="s">
        <v>297</v>
      </c>
      <c r="B17" s="42" t="s">
        <v>298</v>
      </c>
      <c r="C17" s="42"/>
    </row>
    <row r="18" spans="1:4" x14ac:dyDescent="0.35">
      <c r="A18" s="42" t="s">
        <v>299</v>
      </c>
      <c r="B18" s="42" t="s">
        <v>300</v>
      </c>
      <c r="C18" s="42"/>
    </row>
    <row r="19" spans="1:4" x14ac:dyDescent="0.35">
      <c r="A19" s="42" t="s">
        <v>225</v>
      </c>
      <c r="B19" s="42" t="s">
        <v>301</v>
      </c>
      <c r="C19" s="42"/>
    </row>
    <row r="21" spans="1:4" x14ac:dyDescent="0.35">
      <c r="A21" s="37" t="s">
        <v>302</v>
      </c>
      <c r="B21" s="37" t="s">
        <v>303</v>
      </c>
      <c r="C21" s="37" t="s">
        <v>304</v>
      </c>
      <c r="D21" s="37" t="s">
        <v>225</v>
      </c>
    </row>
    <row r="22" spans="1:4" x14ac:dyDescent="0.35">
      <c r="A22" s="30">
        <v>2019</v>
      </c>
      <c r="B22" s="21">
        <f>'p&amp;l'!B34</f>
        <v>1968.44</v>
      </c>
      <c r="C22" s="21">
        <f>balance!B77</f>
        <v>1918.87</v>
      </c>
      <c r="D22" s="32">
        <f t="shared" ref="D22:D27" si="0">B22/C22</f>
        <v>1.0258329120784628</v>
      </c>
    </row>
    <row r="23" spans="1:4" x14ac:dyDescent="0.35">
      <c r="A23" s="30">
        <v>2020</v>
      </c>
      <c r="B23" s="21">
        <f>'p&amp;l'!C34</f>
        <v>2082.4299999999998</v>
      </c>
      <c r="C23" s="21">
        <f>balance!C77</f>
        <v>2019.34</v>
      </c>
      <c r="D23" s="32">
        <f t="shared" si="0"/>
        <v>1.0312428813374666</v>
      </c>
    </row>
    <row r="24" spans="1:4" x14ac:dyDescent="0.35">
      <c r="A24" s="30">
        <v>2021</v>
      </c>
      <c r="B24" s="21">
        <f>'p&amp;l'!D34</f>
        <v>2118.41</v>
      </c>
      <c r="C24" s="21">
        <f>balance!D77</f>
        <v>1946.38</v>
      </c>
      <c r="D24" s="32">
        <f t="shared" si="0"/>
        <v>1.0883845908815337</v>
      </c>
    </row>
    <row r="25" spans="1:4" x14ac:dyDescent="0.35">
      <c r="A25" s="30">
        <v>2022</v>
      </c>
      <c r="B25" s="21">
        <f>'p&amp;l'!E34</f>
        <v>2390.52</v>
      </c>
      <c r="C25" s="21">
        <f>balance!E77</f>
        <v>2459.17</v>
      </c>
      <c r="D25" s="32">
        <f t="shared" si="0"/>
        <v>0.97208407714798084</v>
      </c>
    </row>
    <row r="26" spans="1:4" x14ac:dyDescent="0.35">
      <c r="A26" s="30">
        <v>2024</v>
      </c>
      <c r="B26" s="21">
        <f>'p&amp;l'!F34</f>
        <v>3932.84</v>
      </c>
      <c r="C26" s="21">
        <f>balance!F77</f>
        <v>3340.89</v>
      </c>
      <c r="D26" s="32">
        <f t="shared" si="0"/>
        <v>1.1771833254013153</v>
      </c>
    </row>
    <row r="27" spans="1:4" x14ac:dyDescent="0.35">
      <c r="A27" s="30">
        <v>2025</v>
      </c>
      <c r="B27" s="21">
        <f>'p&amp;l'!G34</f>
        <v>3314.5</v>
      </c>
      <c r="C27" s="21">
        <f>balance!G77</f>
        <v>4117.1499999999996</v>
      </c>
      <c r="D27" s="32">
        <f t="shared" si="0"/>
        <v>0.80504718069538406</v>
      </c>
    </row>
    <row r="29" spans="1:4" x14ac:dyDescent="0.35">
      <c r="A29" s="137" t="s">
        <v>305</v>
      </c>
      <c r="B29" s="118"/>
      <c r="C29" s="118"/>
      <c r="D29" s="118"/>
    </row>
    <row r="30" spans="1:4" x14ac:dyDescent="0.35">
      <c r="A30" t="s">
        <v>299</v>
      </c>
      <c r="C30" t="s">
        <v>295</v>
      </c>
    </row>
    <row r="31" spans="1:4" x14ac:dyDescent="0.35">
      <c r="A31" s="32">
        <f>DDM!B17</f>
        <v>0.79349529780564276</v>
      </c>
      <c r="B31" s="32">
        <f t="shared" ref="B31:B36" si="1">1-A31</f>
        <v>0.20650470219435724</v>
      </c>
      <c r="C31" s="43">
        <f t="shared" ref="C31:C36" si="2">D22*B31</f>
        <v>0.21183932000993322</v>
      </c>
    </row>
    <row r="32" spans="1:4" x14ac:dyDescent="0.35">
      <c r="A32" s="32">
        <f>DDM!C17</f>
        <v>0.92601166774701371</v>
      </c>
      <c r="B32" s="32">
        <f t="shared" si="1"/>
        <v>7.3988332252986289E-2</v>
      </c>
      <c r="C32" s="43">
        <f t="shared" si="2"/>
        <v>7.6299940937923388E-2</v>
      </c>
    </row>
    <row r="33" spans="1:4" x14ac:dyDescent="0.35">
      <c r="A33" s="32">
        <f>DDM!D17</f>
        <v>0.91024940833788448</v>
      </c>
      <c r="B33" s="32">
        <f t="shared" si="1"/>
        <v>8.975059166211552E-2</v>
      </c>
      <c r="C33" s="43">
        <f t="shared" si="2"/>
        <v>9.7683160987547188E-2</v>
      </c>
    </row>
    <row r="34" spans="1:4" x14ac:dyDescent="0.35">
      <c r="A34" s="32">
        <f>DDM!E17</f>
        <v>0.88745461879790244</v>
      </c>
      <c r="B34" s="32">
        <f t="shared" si="1"/>
        <v>0.11254538120209756</v>
      </c>
      <c r="C34" s="43">
        <f t="shared" si="2"/>
        <v>0.10940357302310871</v>
      </c>
    </row>
    <row r="35" spans="1:4" x14ac:dyDescent="0.35">
      <c r="A35" s="32">
        <f>DDM!F17</f>
        <v>0.78940916891394963</v>
      </c>
      <c r="B35" s="32">
        <f t="shared" si="1"/>
        <v>0.21059083108605037</v>
      </c>
      <c r="C35" s="43">
        <f t="shared" si="2"/>
        <v>0.24790401483690347</v>
      </c>
    </row>
    <row r="36" spans="1:4" x14ac:dyDescent="0.35">
      <c r="A36" s="32">
        <f>DDM!G17</f>
        <v>0.78534031413612559</v>
      </c>
      <c r="B36" s="32">
        <f t="shared" si="1"/>
        <v>0.21465968586387441</v>
      </c>
      <c r="C36" s="43">
        <f t="shared" si="2"/>
        <v>0.17281117491366887</v>
      </c>
    </row>
    <row r="37" spans="1:4" x14ac:dyDescent="0.35">
      <c r="C37" s="44">
        <f>AVERAGE(C31:C36)</f>
        <v>0.1526568641181808</v>
      </c>
      <c r="D37" s="45" t="s">
        <v>295</v>
      </c>
    </row>
    <row r="39" spans="1:4" x14ac:dyDescent="0.35">
      <c r="A39" s="37" t="s">
        <v>306</v>
      </c>
    </row>
    <row r="40" spans="1:4" x14ac:dyDescent="0.35">
      <c r="A40" t="s">
        <v>307</v>
      </c>
      <c r="B40" s="32">
        <f>C37</f>
        <v>0.1526568641181808</v>
      </c>
    </row>
    <row r="41" spans="1:4" x14ac:dyDescent="0.35">
      <c r="A41" t="s">
        <v>308</v>
      </c>
      <c r="B41">
        <v>0.06</v>
      </c>
      <c r="C41" t="s">
        <v>309</v>
      </c>
    </row>
    <row r="43" spans="1:4" x14ac:dyDescent="0.35">
      <c r="A43" t="s">
        <v>293</v>
      </c>
      <c r="B43" t="s">
        <v>310</v>
      </c>
    </row>
  </sheetData>
  <mergeCells count="7">
    <mergeCell ref="A1:K2"/>
    <mergeCell ref="A10:B10"/>
    <mergeCell ref="A3:J3"/>
    <mergeCell ref="A5:B5"/>
    <mergeCell ref="A29:D29"/>
    <mergeCell ref="A4:J4"/>
    <mergeCell ref="A15:C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21"/>
  <sheetViews>
    <sheetView workbookViewId="0">
      <selection activeCell="B15" sqref="B15"/>
    </sheetView>
  </sheetViews>
  <sheetFormatPr defaultRowHeight="14.5" x14ac:dyDescent="0.35"/>
  <cols>
    <col min="1" max="1" width="29.90625" bestFit="1" customWidth="1"/>
    <col min="2" max="10" width="14.08984375" customWidth="1"/>
  </cols>
  <sheetData>
    <row r="1" spans="1:18" x14ac:dyDescent="0.35">
      <c r="A1" s="141" t="s">
        <v>311</v>
      </c>
      <c r="B1" s="118"/>
      <c r="C1" s="118"/>
      <c r="D1" s="118"/>
      <c r="E1" s="118"/>
      <c r="F1" s="118"/>
      <c r="G1" s="118"/>
      <c r="H1" s="118"/>
      <c r="I1" s="118"/>
      <c r="J1" s="118"/>
    </row>
    <row r="2" spans="1:18" x14ac:dyDescent="0.35">
      <c r="A2" s="118"/>
      <c r="B2" s="118"/>
      <c r="C2" s="118"/>
      <c r="D2" s="118"/>
      <c r="E2" s="118"/>
      <c r="F2" s="118"/>
      <c r="G2" s="118"/>
      <c r="H2" s="118"/>
      <c r="I2" s="118"/>
      <c r="J2" s="118"/>
    </row>
    <row r="3" spans="1:18" x14ac:dyDescent="0.35">
      <c r="A3" s="142" t="s">
        <v>312</v>
      </c>
      <c r="B3" s="118"/>
      <c r="C3" s="118"/>
      <c r="D3" s="118"/>
      <c r="E3" s="118"/>
      <c r="F3" s="118"/>
      <c r="G3" s="118"/>
      <c r="H3" s="118"/>
      <c r="I3" s="118"/>
      <c r="J3" s="118"/>
    </row>
    <row r="4" spans="1:18" x14ac:dyDescent="0.35">
      <c r="A4" s="29" t="s">
        <v>313</v>
      </c>
      <c r="B4" s="30">
        <v>2019</v>
      </c>
      <c r="C4" s="30">
        <v>2020</v>
      </c>
      <c r="D4" s="30">
        <v>2021</v>
      </c>
      <c r="E4" s="30">
        <v>2022</v>
      </c>
      <c r="F4" s="30">
        <v>2024</v>
      </c>
      <c r="G4" s="30">
        <v>2025</v>
      </c>
      <c r="H4" s="30">
        <v>2026</v>
      </c>
      <c r="I4" s="30">
        <v>2027</v>
      </c>
      <c r="J4" s="29">
        <v>2028</v>
      </c>
    </row>
    <row r="5" spans="1:18" x14ac:dyDescent="0.35">
      <c r="A5" t="s">
        <v>314</v>
      </c>
      <c r="B5" s="33">
        <f>'p&amp;l'!B75</f>
        <v>342</v>
      </c>
      <c r="C5" s="33">
        <f>'p&amp;l'!C75</f>
        <v>200</v>
      </c>
      <c r="D5" s="33">
        <f>'p&amp;l'!D75</f>
        <v>200</v>
      </c>
      <c r="E5" s="33">
        <f>'p&amp;l'!E75</f>
        <v>220</v>
      </c>
      <c r="F5" s="33">
        <f>'p&amp;l'!F75</f>
        <v>32.200000000000003</v>
      </c>
      <c r="G5" s="33">
        <f>'p&amp;l'!G75</f>
        <v>27</v>
      </c>
      <c r="H5">
        <f>'p&amp;l'!H75</f>
        <v>0</v>
      </c>
      <c r="I5">
        <f>'p&amp;l'!I75</f>
        <v>0</v>
      </c>
      <c r="J5">
        <f>'p&amp;l'!J75</f>
        <v>0</v>
      </c>
    </row>
    <row r="6" spans="1:18" x14ac:dyDescent="0.35">
      <c r="A6" t="s">
        <v>315</v>
      </c>
      <c r="B6" s="33">
        <f>'p&amp;l'!B69</f>
        <v>101</v>
      </c>
      <c r="C6" s="33">
        <f>'p&amp;l'!C69</f>
        <v>135</v>
      </c>
      <c r="D6" s="33">
        <f>'p&amp;l'!D69</f>
        <v>135</v>
      </c>
      <c r="E6" s="33">
        <f>'p&amp;l'!E69</f>
        <v>145</v>
      </c>
      <c r="F6" s="33">
        <f>'p&amp;l'!F69</f>
        <v>23.7</v>
      </c>
      <c r="G6" s="33">
        <f>'p&amp;l'!G69</f>
        <v>17</v>
      </c>
    </row>
    <row r="7" spans="1:18" x14ac:dyDescent="0.35">
      <c r="A7" t="s">
        <v>316</v>
      </c>
      <c r="B7" s="33">
        <f>'p&amp;l'!B73</f>
        <v>180</v>
      </c>
      <c r="C7" s="33">
        <f>'p&amp;l'!C73</f>
        <v>0</v>
      </c>
      <c r="D7" s="33">
        <f>'p&amp;l'!D73</f>
        <v>0</v>
      </c>
      <c r="E7" s="33">
        <f>'p&amp;l'!E73</f>
        <v>0</v>
      </c>
      <c r="F7" s="33">
        <f>'p&amp;l'!F73</f>
        <v>0</v>
      </c>
      <c r="G7" s="33">
        <f>'p&amp;l'!G73</f>
        <v>0</v>
      </c>
      <c r="M7" t="s">
        <v>317</v>
      </c>
      <c r="R7" t="s">
        <v>318</v>
      </c>
    </row>
    <row r="8" spans="1:18" x14ac:dyDescent="0.35">
      <c r="A8" t="s">
        <v>319</v>
      </c>
      <c r="B8" s="33">
        <f>'p&amp;l'!B74</f>
        <v>61</v>
      </c>
      <c r="C8" s="33">
        <f>'p&amp;l'!C74</f>
        <v>65</v>
      </c>
      <c r="D8" s="33">
        <f>'p&amp;l'!D74</f>
        <v>65</v>
      </c>
      <c r="E8" s="33">
        <f>'p&amp;l'!E74</f>
        <v>75</v>
      </c>
      <c r="F8" s="33">
        <f>'p&amp;l'!F74</f>
        <v>8.5</v>
      </c>
      <c r="G8" s="33">
        <f>'p&amp;l'!G74</f>
        <v>10</v>
      </c>
    </row>
    <row r="9" spans="1:18" x14ac:dyDescent="0.35">
      <c r="A9" t="s">
        <v>320</v>
      </c>
      <c r="B9" s="33">
        <f>'p&amp;l'!B66</f>
        <v>204.16</v>
      </c>
      <c r="C9" s="33">
        <f>'p&amp;l'!C66</f>
        <v>215.98</v>
      </c>
      <c r="D9" s="33">
        <f>'p&amp;l'!D66</f>
        <v>219.72</v>
      </c>
      <c r="E9" s="33">
        <f>'p&amp;l'!E66</f>
        <v>247.9</v>
      </c>
      <c r="F9" s="33">
        <f>'p&amp;l'!F66</f>
        <v>40.79</v>
      </c>
      <c r="G9" s="33">
        <f>'p&amp;l'!G66</f>
        <v>34.380000000000003</v>
      </c>
    </row>
    <row r="10" spans="1:18" ht="26" customHeight="1" x14ac:dyDescent="0.35">
      <c r="A10" s="31" t="s">
        <v>121</v>
      </c>
      <c r="B10" s="33">
        <f>'p&amp;l'!B86</f>
        <v>9.64</v>
      </c>
      <c r="C10" s="33">
        <f>'p&amp;l'!C86</f>
        <v>9.64</v>
      </c>
      <c r="D10" s="33">
        <f>'p&amp;l'!D86</f>
        <v>9.64</v>
      </c>
      <c r="E10" s="33">
        <f>'p&amp;l'!E86</f>
        <v>9.64</v>
      </c>
      <c r="F10" s="33">
        <f>'p&amp;l'!F86</f>
        <v>96.42</v>
      </c>
      <c r="G10" s="33">
        <f>'p&amp;l'!G86</f>
        <v>96.42</v>
      </c>
    </row>
    <row r="11" spans="1:18" x14ac:dyDescent="0.35">
      <c r="B11" s="21"/>
    </row>
    <row r="12" spans="1:18" x14ac:dyDescent="0.35">
      <c r="A12" s="37" t="s">
        <v>321</v>
      </c>
      <c r="B12" s="140" t="s">
        <v>322</v>
      </c>
      <c r="C12" s="118"/>
      <c r="D12" s="118"/>
      <c r="E12" s="118"/>
      <c r="F12" s="118"/>
      <c r="G12" s="118"/>
      <c r="H12" s="118"/>
      <c r="I12" s="118"/>
      <c r="J12" s="118"/>
    </row>
    <row r="13" spans="1:18" x14ac:dyDescent="0.35">
      <c r="A13" s="29" t="s">
        <v>313</v>
      </c>
      <c r="B13" s="30">
        <v>2019</v>
      </c>
      <c r="C13" s="30">
        <v>2020</v>
      </c>
      <c r="D13" s="30">
        <v>2021</v>
      </c>
      <c r="E13" s="30">
        <v>2022</v>
      </c>
      <c r="F13" s="30">
        <v>2024</v>
      </c>
      <c r="G13" s="30">
        <v>2025</v>
      </c>
      <c r="H13" s="30">
        <v>2026</v>
      </c>
      <c r="I13" s="30">
        <v>2027</v>
      </c>
      <c r="J13" s="29">
        <v>2028</v>
      </c>
    </row>
    <row r="14" spans="1:18" x14ac:dyDescent="0.35">
      <c r="A14" t="s">
        <v>323</v>
      </c>
      <c r="B14" s="34">
        <f>B5/10</f>
        <v>34.200000000000003</v>
      </c>
      <c r="C14" s="34">
        <f>C5/10</f>
        <v>20</v>
      </c>
      <c r="D14" s="34">
        <f>D5/10</f>
        <v>20</v>
      </c>
      <c r="E14" s="34">
        <f>E5/10</f>
        <v>22</v>
      </c>
      <c r="F14" s="34">
        <f>F5</f>
        <v>32.200000000000003</v>
      </c>
      <c r="G14" s="34">
        <f>G5</f>
        <v>27</v>
      </c>
      <c r="H14" s="47"/>
      <c r="I14" s="47"/>
      <c r="J14" s="47"/>
    </row>
    <row r="15" spans="1:18" x14ac:dyDescent="0.35">
      <c r="A15" t="s">
        <v>324</v>
      </c>
      <c r="B15" s="34">
        <f>B14-18</f>
        <v>16.200000000000003</v>
      </c>
      <c r="C15" s="34">
        <f>C14</f>
        <v>20</v>
      </c>
      <c r="D15" s="34">
        <f>D14</f>
        <v>20</v>
      </c>
      <c r="E15" s="34">
        <f>E14</f>
        <v>22</v>
      </c>
      <c r="F15" s="34">
        <f>F14</f>
        <v>32.200000000000003</v>
      </c>
      <c r="G15" s="34">
        <f>G14</f>
        <v>27</v>
      </c>
      <c r="H15" s="34">
        <f>G15*(1+'DIVDEND DATA'!$B$40)</f>
        <v>31.121735331190884</v>
      </c>
      <c r="I15" s="34">
        <f>H15*(1+'DIVDEND DATA'!$B$40)</f>
        <v>35.872681852766483</v>
      </c>
      <c r="J15" s="34">
        <f>I15*(1+'DIVDEND DATA'!$B$40)</f>
        <v>41.348892971918993</v>
      </c>
    </row>
    <row r="16" spans="1:18" x14ac:dyDescent="0.35">
      <c r="A16" t="s">
        <v>325</v>
      </c>
      <c r="B16" s="34">
        <f>B9/10</f>
        <v>20.416</v>
      </c>
      <c r="C16" s="34">
        <f>C9/10</f>
        <v>21.597999999999999</v>
      </c>
      <c r="D16" s="34">
        <f>D9/10</f>
        <v>21.972000000000001</v>
      </c>
      <c r="E16" s="34">
        <f>E9/10</f>
        <v>24.79</v>
      </c>
      <c r="F16" s="34">
        <f>F9</f>
        <v>40.79</v>
      </c>
      <c r="G16" s="34">
        <f>G9</f>
        <v>34.380000000000003</v>
      </c>
      <c r="H16" s="47">
        <f>G16*(1+'DIVDEND DATA'!$B$40)</f>
        <v>39.628342988383061</v>
      </c>
      <c r="I16" s="47">
        <f>H16*(1+'DIVDEND DATA'!$B$40)</f>
        <v>45.677881559189323</v>
      </c>
      <c r="J16" s="47">
        <f>I16*(1+'DIVDEND DATA'!$B$40)</f>
        <v>52.650923717576852</v>
      </c>
    </row>
    <row r="17" spans="1:10" x14ac:dyDescent="0.35">
      <c r="A17" t="s">
        <v>326</v>
      </c>
      <c r="B17" s="35">
        <f t="shared" ref="B17:J17" si="0">B15/B16</f>
        <v>0.79349529780564276</v>
      </c>
      <c r="C17" s="35">
        <f t="shared" si="0"/>
        <v>0.92601166774701371</v>
      </c>
      <c r="D17" s="35">
        <f t="shared" si="0"/>
        <v>0.91024940833788448</v>
      </c>
      <c r="E17" s="35">
        <f t="shared" si="0"/>
        <v>0.88745461879790244</v>
      </c>
      <c r="F17" s="35">
        <f t="shared" si="0"/>
        <v>0.78940916891394963</v>
      </c>
      <c r="G17" s="35">
        <f t="shared" si="0"/>
        <v>0.78534031413612559</v>
      </c>
      <c r="H17" s="46">
        <f t="shared" si="0"/>
        <v>0.78534031413612559</v>
      </c>
      <c r="I17" s="46">
        <f t="shared" si="0"/>
        <v>0.78534031413612559</v>
      </c>
      <c r="J17" s="46">
        <f t="shared" si="0"/>
        <v>0.78534031413612559</v>
      </c>
    </row>
    <row r="18" spans="1:10" x14ac:dyDescent="0.35">
      <c r="A18" t="s">
        <v>327</v>
      </c>
      <c r="C18" s="32">
        <f t="shared" ref="C18:J18" si="1">(C15-B15)/B15</f>
        <v>0.23456790123456769</v>
      </c>
      <c r="D18" s="32">
        <f t="shared" si="1"/>
        <v>0</v>
      </c>
      <c r="E18" s="32">
        <f t="shared" si="1"/>
        <v>0.1</v>
      </c>
      <c r="F18" s="32">
        <f t="shared" si="1"/>
        <v>0.46363636363636379</v>
      </c>
      <c r="G18" s="32">
        <f t="shared" si="1"/>
        <v>-0.16149068322981375</v>
      </c>
      <c r="H18" s="32">
        <f t="shared" si="1"/>
        <v>0.15265686411818088</v>
      </c>
      <c r="I18" s="32">
        <f t="shared" si="1"/>
        <v>0.152656864118181</v>
      </c>
      <c r="J18" s="32">
        <f t="shared" si="1"/>
        <v>0.15265686411818097</v>
      </c>
    </row>
    <row r="20" spans="1:10" x14ac:dyDescent="0.35">
      <c r="A20" s="36" t="s">
        <v>328</v>
      </c>
    </row>
    <row r="21" spans="1:10" x14ac:dyDescent="0.35">
      <c r="A21" s="34" t="s">
        <v>329</v>
      </c>
    </row>
  </sheetData>
  <mergeCells count="3">
    <mergeCell ref="B12:J12"/>
    <mergeCell ref="A1:J2"/>
    <mergeCell ref="A3:J3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8"/>
  <sheetViews>
    <sheetView showGridLines="0" topLeftCell="A30" workbookViewId="0">
      <selection activeCell="G33" sqref="G33"/>
    </sheetView>
  </sheetViews>
  <sheetFormatPr defaultRowHeight="14.5" x14ac:dyDescent="0.35"/>
  <cols>
    <col min="1" max="1" width="27.1796875" customWidth="1"/>
    <col min="2" max="2" width="13.81640625" bestFit="1" customWidth="1"/>
  </cols>
  <sheetData>
    <row r="1" spans="1:10" x14ac:dyDescent="0.35">
      <c r="A1" s="132" t="s">
        <v>330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10" x14ac:dyDescent="0.35">
      <c r="A2" s="132" t="s">
        <v>331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10" x14ac:dyDescent="0.35">
      <c r="A3" s="60" t="s">
        <v>332</v>
      </c>
      <c r="B3" s="61">
        <v>2019</v>
      </c>
      <c r="C3" s="61">
        <v>2020</v>
      </c>
      <c r="D3" s="61">
        <v>2021</v>
      </c>
      <c r="E3" s="61">
        <v>2022</v>
      </c>
      <c r="F3" s="61">
        <v>2024</v>
      </c>
      <c r="G3" s="61">
        <v>2025</v>
      </c>
      <c r="H3" s="62">
        <v>2026</v>
      </c>
      <c r="I3" s="62">
        <v>2027</v>
      </c>
      <c r="J3" s="63">
        <v>2028</v>
      </c>
    </row>
    <row r="4" spans="1:10" x14ac:dyDescent="0.35">
      <c r="A4" s="9" t="s">
        <v>333</v>
      </c>
      <c r="B4" s="9"/>
      <c r="C4" s="9"/>
      <c r="D4" s="9"/>
      <c r="E4" s="9"/>
      <c r="F4" s="9"/>
      <c r="G4" s="9"/>
      <c r="H4" s="9"/>
      <c r="I4" s="9"/>
      <c r="J4" s="9"/>
    </row>
    <row r="5" spans="1:10" x14ac:dyDescent="0.35">
      <c r="A5" s="9" t="s">
        <v>334</v>
      </c>
      <c r="B5" s="9">
        <f>DDM!B15</f>
        <v>16.200000000000003</v>
      </c>
      <c r="C5" s="9">
        <f>DDM!C15</f>
        <v>20</v>
      </c>
      <c r="D5" s="9">
        <f>DDM!D15</f>
        <v>20</v>
      </c>
      <c r="E5" s="9">
        <f>DDM!E15</f>
        <v>22</v>
      </c>
      <c r="F5" s="9">
        <f>DDM!F15</f>
        <v>32.200000000000003</v>
      </c>
      <c r="G5" s="9">
        <f>DDM!G15</f>
        <v>27</v>
      </c>
      <c r="H5" s="9">
        <f>DDM!H15</f>
        <v>31.121735331190884</v>
      </c>
      <c r="I5" s="9">
        <f>DDM!I15</f>
        <v>35.872681852766483</v>
      </c>
      <c r="J5" s="9">
        <f>DDM!J15</f>
        <v>41.348892971918993</v>
      </c>
    </row>
    <row r="6" spans="1:10" x14ac:dyDescent="0.35">
      <c r="A6" s="9" t="s">
        <v>335</v>
      </c>
      <c r="B6" s="9">
        <f>DDM!B16</f>
        <v>20.416</v>
      </c>
      <c r="C6" s="9">
        <f>DDM!C16</f>
        <v>21.597999999999999</v>
      </c>
      <c r="D6" s="9">
        <f>DDM!D16</f>
        <v>21.972000000000001</v>
      </c>
      <c r="E6" s="9">
        <f>DDM!E16</f>
        <v>24.79</v>
      </c>
      <c r="F6" s="9">
        <f>DDM!F16</f>
        <v>40.79</v>
      </c>
      <c r="G6" s="9">
        <f>DDM!G16</f>
        <v>34.380000000000003</v>
      </c>
      <c r="H6" s="9">
        <f>DDM!H16</f>
        <v>39.628342988383061</v>
      </c>
      <c r="I6" s="9">
        <f>DDM!I16</f>
        <v>45.677881559189323</v>
      </c>
      <c r="J6" s="9">
        <f>DDM!J16</f>
        <v>52.650923717576852</v>
      </c>
    </row>
    <row r="7" spans="1:10" x14ac:dyDescent="0.35">
      <c r="A7" s="9" t="s">
        <v>299</v>
      </c>
      <c r="B7" s="64">
        <f>DDM!B17</f>
        <v>0.79349529780564276</v>
      </c>
      <c r="C7" s="64">
        <f>DDM!C17</f>
        <v>0.92601166774701371</v>
      </c>
      <c r="D7" s="64">
        <f>DDM!D17</f>
        <v>0.91024940833788448</v>
      </c>
      <c r="E7" s="64">
        <f>DDM!E17</f>
        <v>0.88745461879790244</v>
      </c>
      <c r="F7" s="64">
        <f>DDM!F17</f>
        <v>0.78940916891394963</v>
      </c>
      <c r="G7" s="64">
        <f>DDM!G17</f>
        <v>0.78534031413612559</v>
      </c>
      <c r="H7" s="64">
        <f>DDM!H17</f>
        <v>0.78534031413612559</v>
      </c>
      <c r="I7" s="64">
        <f>DDM!I17</f>
        <v>0.78534031413612559</v>
      </c>
      <c r="J7" s="64">
        <f>DDM!J17</f>
        <v>0.78534031413612559</v>
      </c>
    </row>
    <row r="9" spans="1:10" x14ac:dyDescent="0.35">
      <c r="A9" s="132" t="s">
        <v>336</v>
      </c>
      <c r="B9" s="127"/>
    </row>
    <row r="10" spans="1:10" x14ac:dyDescent="0.35">
      <c r="A10" s="9" t="s">
        <v>337</v>
      </c>
      <c r="B10" s="56">
        <f>'DIVDEND DATA'!B6</f>
        <v>7.0000000000000007E-2</v>
      </c>
    </row>
    <row r="11" spans="1:10" x14ac:dyDescent="0.35">
      <c r="A11" s="9" t="s">
        <v>338</v>
      </c>
      <c r="B11" s="56">
        <f>'DIVDEND DATA'!B8</f>
        <v>0.12</v>
      </c>
    </row>
    <row r="12" spans="1:10" x14ac:dyDescent="0.35">
      <c r="A12" s="9" t="s">
        <v>339</v>
      </c>
      <c r="B12" s="57">
        <f>'DIVDEND DATA'!B7</f>
        <v>0.27</v>
      </c>
    </row>
    <row r="13" spans="1:10" x14ac:dyDescent="0.35">
      <c r="A13" s="9" t="s">
        <v>293</v>
      </c>
      <c r="B13" s="57">
        <f>'DIVDEND DATA'!B13</f>
        <v>8.3500000000000005E-2</v>
      </c>
    </row>
    <row r="14" spans="1:10" x14ac:dyDescent="0.35">
      <c r="A14" s="9" t="s">
        <v>340</v>
      </c>
      <c r="B14" s="58">
        <f>'DIVDEND DATA'!B40</f>
        <v>0.1526568641181808</v>
      </c>
    </row>
    <row r="15" spans="1:10" x14ac:dyDescent="0.35">
      <c r="A15" s="9" t="s">
        <v>341</v>
      </c>
      <c r="B15" s="59">
        <v>0.06</v>
      </c>
    </row>
    <row r="18" spans="1:10" x14ac:dyDescent="0.35">
      <c r="A18" s="132" t="s">
        <v>342</v>
      </c>
      <c r="B18" s="126"/>
      <c r="C18" s="126"/>
      <c r="D18" s="126"/>
      <c r="E18" s="126"/>
      <c r="F18" s="126"/>
      <c r="G18" s="126"/>
      <c r="H18" s="126"/>
      <c r="I18" s="126"/>
      <c r="J18" s="127"/>
    </row>
    <row r="19" spans="1:10" x14ac:dyDescent="0.35">
      <c r="A19" s="9"/>
      <c r="B19" s="9"/>
      <c r="C19" s="9"/>
      <c r="D19" s="9"/>
      <c r="E19" s="9"/>
      <c r="F19" s="9"/>
      <c r="G19" s="9"/>
      <c r="H19" s="62">
        <v>2026</v>
      </c>
      <c r="I19" s="62">
        <v>2027</v>
      </c>
      <c r="J19" s="63">
        <v>2028</v>
      </c>
    </row>
    <row r="20" spans="1:10" x14ac:dyDescent="0.35">
      <c r="A20" s="9" t="s">
        <v>343</v>
      </c>
      <c r="B20" s="9"/>
      <c r="C20" s="9"/>
      <c r="D20" s="9"/>
      <c r="E20" s="9"/>
      <c r="F20" s="9"/>
      <c r="G20" s="9"/>
      <c r="H20" s="64">
        <f>DDM!H18</f>
        <v>0.15265686411818088</v>
      </c>
      <c r="I20" s="64">
        <f>DDM!I18</f>
        <v>0.152656864118181</v>
      </c>
      <c r="J20" s="64">
        <f>DDM!J18</f>
        <v>0.15265686411818097</v>
      </c>
    </row>
    <row r="21" spans="1:10" x14ac:dyDescent="0.35">
      <c r="A21" s="9" t="s">
        <v>344</v>
      </c>
      <c r="B21" s="9"/>
      <c r="C21" s="9"/>
      <c r="D21" s="9"/>
      <c r="E21" s="9"/>
      <c r="F21" s="9"/>
      <c r="G21" s="9"/>
      <c r="H21" s="9">
        <f>H5</f>
        <v>31.121735331190884</v>
      </c>
      <c r="I21" s="9">
        <f>I5</f>
        <v>35.872681852766483</v>
      </c>
      <c r="J21" s="9">
        <f>J5</f>
        <v>41.348892971918993</v>
      </c>
    </row>
    <row r="22" spans="1:10" x14ac:dyDescent="0.35">
      <c r="A22" s="9" t="s">
        <v>345</v>
      </c>
      <c r="B22" s="9"/>
      <c r="C22" s="9"/>
      <c r="D22" s="9"/>
      <c r="E22" s="9"/>
      <c r="F22" s="9"/>
      <c r="G22" s="9"/>
      <c r="H22" s="9">
        <f>H21/(1+$B$13)^1</f>
        <v>28.723336715450749</v>
      </c>
      <c r="I22" s="9">
        <f>I21/(1+$B$13)^2</f>
        <v>30.556669335894856</v>
      </c>
      <c r="J22" s="9">
        <f>J21/(1+$B$13)^3</f>
        <v>32.507018601392474</v>
      </c>
    </row>
    <row r="23" spans="1:10" x14ac:dyDescent="0.35">
      <c r="A23" s="65" t="s">
        <v>346</v>
      </c>
      <c r="B23" s="9"/>
      <c r="C23" s="9"/>
      <c r="D23" s="9"/>
      <c r="E23" s="9"/>
      <c r="F23" s="9"/>
      <c r="G23" s="9"/>
      <c r="H23" s="131">
        <f>SUM(H22:J22)</f>
        <v>91.787024652738083</v>
      </c>
      <c r="I23" s="126"/>
      <c r="J23" s="127"/>
    </row>
    <row r="25" spans="1:10" x14ac:dyDescent="0.35">
      <c r="A25" s="132" t="s">
        <v>347</v>
      </c>
      <c r="B25" s="127"/>
    </row>
    <row r="26" spans="1:10" x14ac:dyDescent="0.35">
      <c r="A26" s="9" t="s">
        <v>348</v>
      </c>
      <c r="B26" s="66">
        <f>J5*(1+B15)</f>
        <v>43.829826550234131</v>
      </c>
    </row>
    <row r="27" spans="1:10" x14ac:dyDescent="0.35">
      <c r="A27" s="9" t="s">
        <v>349</v>
      </c>
      <c r="B27" s="66">
        <f>B26/(B13-B15)</f>
        <v>1865.0990021376219</v>
      </c>
    </row>
    <row r="28" spans="1:10" x14ac:dyDescent="0.35">
      <c r="A28" s="9" t="s">
        <v>350</v>
      </c>
      <c r="B28" s="66">
        <f>B27/(1+B13)^3</f>
        <v>1466.2740305308942</v>
      </c>
    </row>
    <row r="31" spans="1:10" x14ac:dyDescent="0.35">
      <c r="A31" s="132" t="s">
        <v>351</v>
      </c>
      <c r="B31" s="127"/>
    </row>
    <row r="32" spans="1:10" x14ac:dyDescent="0.35">
      <c r="A32" s="9" t="s">
        <v>352</v>
      </c>
      <c r="B32" s="66">
        <f>H23</f>
        <v>91.787024652738083</v>
      </c>
    </row>
    <row r="33" spans="1:4" x14ac:dyDescent="0.35">
      <c r="A33" s="9" t="s">
        <v>353</v>
      </c>
      <c r="B33" s="66">
        <f>B28</f>
        <v>1466.2740305308942</v>
      </c>
    </row>
    <row r="34" spans="1:4" x14ac:dyDescent="0.35">
      <c r="A34" s="9" t="s">
        <v>354</v>
      </c>
      <c r="B34" s="66">
        <f>SUM(B32:B33)</f>
        <v>1558.0610551836323</v>
      </c>
    </row>
    <row r="35" spans="1:4" x14ac:dyDescent="0.35">
      <c r="A35" s="9" t="s">
        <v>355</v>
      </c>
      <c r="B35" s="66">
        <v>1241</v>
      </c>
    </row>
    <row r="36" spans="1:4" x14ac:dyDescent="0.35">
      <c r="A36" s="9" t="s">
        <v>356</v>
      </c>
      <c r="B36" s="66">
        <f>B34-B35</f>
        <v>317.06105518363233</v>
      </c>
      <c r="C36" t="s">
        <v>357</v>
      </c>
    </row>
    <row r="37" spans="1:4" x14ac:dyDescent="0.35">
      <c r="A37" s="9" t="s">
        <v>358</v>
      </c>
      <c r="B37" s="64">
        <f>(B34-B35)/B35</f>
        <v>0.25548836034136369</v>
      </c>
    </row>
    <row r="38" spans="1:4" ht="16" customHeight="1" x14ac:dyDescent="0.35">
      <c r="A38" s="67" t="s">
        <v>359</v>
      </c>
      <c r="B38" s="67" t="s">
        <v>360</v>
      </c>
      <c r="D38" s="48" t="s">
        <v>361</v>
      </c>
    </row>
  </sheetData>
  <mergeCells count="7">
    <mergeCell ref="A31:B31"/>
    <mergeCell ref="A1:J1"/>
    <mergeCell ref="A25:B25"/>
    <mergeCell ref="A18:J18"/>
    <mergeCell ref="H23:J23"/>
    <mergeCell ref="A2:J2"/>
    <mergeCell ref="A9:B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Y76"/>
  <sheetViews>
    <sheetView showGridLines="0" tabSelected="1" zoomScale="90" workbookViewId="0">
      <selection activeCell="B64" sqref="B64"/>
    </sheetView>
  </sheetViews>
  <sheetFormatPr defaultRowHeight="14.5" x14ac:dyDescent="0.35"/>
  <cols>
    <col min="1" max="1" width="36" bestFit="1" customWidth="1"/>
    <col min="2" max="2" width="11.36328125" bestFit="1" customWidth="1"/>
    <col min="3" max="3" width="9.54296875" bestFit="1" customWidth="1"/>
    <col min="13" max="13" width="28.08984375" bestFit="1" customWidth="1"/>
  </cols>
  <sheetData>
    <row r="1" spans="1:20" x14ac:dyDescent="0.35">
      <c r="A1" s="148" t="s">
        <v>362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7"/>
    </row>
    <row r="2" spans="1:20" x14ac:dyDescent="0.35">
      <c r="A2" s="54"/>
      <c r="B2" s="94">
        <v>2019</v>
      </c>
      <c r="C2" s="94">
        <v>2020</v>
      </c>
      <c r="D2" s="94">
        <v>2021</v>
      </c>
      <c r="E2" s="94">
        <v>2022</v>
      </c>
      <c r="F2" s="94">
        <v>2024</v>
      </c>
      <c r="G2" s="94">
        <v>2025</v>
      </c>
      <c r="H2" s="94">
        <v>2026</v>
      </c>
      <c r="I2" s="94">
        <v>2027</v>
      </c>
      <c r="J2" s="94">
        <v>2028</v>
      </c>
      <c r="K2" s="94">
        <v>2029</v>
      </c>
      <c r="L2" s="94">
        <v>2030</v>
      </c>
    </row>
    <row r="3" spans="1:20" x14ac:dyDescent="0.35">
      <c r="A3" s="9" t="s">
        <v>230</v>
      </c>
      <c r="B3" s="10">
        <f>ratio!B11</f>
        <v>2802.6099999999997</v>
      </c>
      <c r="C3" s="10">
        <f>ratio!C11</f>
        <v>2976.97</v>
      </c>
      <c r="D3" s="10">
        <f>ratio!D11</f>
        <v>3059</v>
      </c>
      <c r="E3" s="10">
        <f>ratio!E11</f>
        <v>3410.54</v>
      </c>
      <c r="F3" s="10">
        <f>ratio!F11</f>
        <v>5434.36</v>
      </c>
      <c r="G3" s="10">
        <f>ratio!G11</f>
        <v>4583.47</v>
      </c>
      <c r="H3" s="9"/>
      <c r="I3" s="9"/>
      <c r="J3" s="9"/>
      <c r="K3" s="9"/>
      <c r="L3" s="9"/>
    </row>
    <row r="4" spans="1:20" x14ac:dyDescent="0.35">
      <c r="A4" s="9" t="s">
        <v>363</v>
      </c>
      <c r="B4" s="9" t="s">
        <v>364</v>
      </c>
      <c r="C4" s="9"/>
      <c r="D4" s="9"/>
      <c r="E4" s="9"/>
      <c r="F4" s="9"/>
      <c r="G4" s="9"/>
      <c r="H4" s="9"/>
      <c r="I4" s="9"/>
      <c r="J4" s="9"/>
      <c r="K4" s="9"/>
      <c r="L4" s="9"/>
    </row>
    <row r="5" spans="1:20" x14ac:dyDescent="0.35">
      <c r="A5" s="9" t="s">
        <v>365</v>
      </c>
      <c r="B5" s="9">
        <f>'p&amp;l'!B25</f>
        <v>705.05</v>
      </c>
      <c r="C5" s="9">
        <f>'p&amp;l'!C25</f>
        <v>730.36</v>
      </c>
      <c r="D5" s="9">
        <f>'p&amp;l'!D25</f>
        <v>738.91</v>
      </c>
      <c r="E5" s="9">
        <f>'p&amp;l'!E25</f>
        <v>865.45</v>
      </c>
      <c r="F5" s="9">
        <f>'p&amp;l'!F25</f>
        <v>1356.03</v>
      </c>
      <c r="G5" s="9">
        <f>'p&amp;l'!G25</f>
        <v>1132.97</v>
      </c>
      <c r="H5" s="9"/>
      <c r="I5" s="9"/>
      <c r="J5" s="9"/>
      <c r="K5" s="9"/>
      <c r="L5" s="9"/>
    </row>
    <row r="6" spans="1:20" x14ac:dyDescent="0.35">
      <c r="A6" s="9" t="s">
        <v>366</v>
      </c>
      <c r="B6" s="10">
        <f>'p&amp;l'!B24</f>
        <v>2673.49</v>
      </c>
      <c r="C6" s="10">
        <f>'p&amp;l'!C24</f>
        <v>2812.79</v>
      </c>
      <c r="D6" s="10">
        <f>'p&amp;l'!D24</f>
        <v>2857.32</v>
      </c>
      <c r="E6" s="10">
        <f>'p&amp;l'!E24</f>
        <v>3255.97</v>
      </c>
      <c r="F6" s="10">
        <f>'p&amp;l'!F24</f>
        <v>5288.87</v>
      </c>
      <c r="G6" s="10">
        <f>'p&amp;l'!G24</f>
        <v>4447.47</v>
      </c>
      <c r="H6" s="9"/>
      <c r="I6" s="9"/>
      <c r="J6" s="9"/>
      <c r="K6" s="9"/>
      <c r="L6" s="9"/>
    </row>
    <row r="7" spans="1:20" x14ac:dyDescent="0.35">
      <c r="A7" s="9"/>
      <c r="B7" s="64">
        <f t="shared" ref="B7:G7" si="0">B5/B6</f>
        <v>0.26371895911336868</v>
      </c>
      <c r="C7" s="64">
        <f t="shared" si="0"/>
        <v>0.2596567820562502</v>
      </c>
      <c r="D7" s="64">
        <f t="shared" si="0"/>
        <v>0.25860246664706787</v>
      </c>
      <c r="E7" s="64">
        <f t="shared" si="0"/>
        <v>0.26580404610607594</v>
      </c>
      <c r="F7" s="64">
        <f t="shared" si="0"/>
        <v>0.25639314258055124</v>
      </c>
      <c r="G7" s="64">
        <f t="shared" si="0"/>
        <v>0.25474483245530605</v>
      </c>
      <c r="H7" s="9"/>
      <c r="I7" s="9"/>
      <c r="J7" s="9"/>
      <c r="K7" s="9"/>
      <c r="L7" s="9"/>
      <c r="M7" t="s">
        <v>17</v>
      </c>
    </row>
    <row r="8" spans="1:20" x14ac:dyDescent="0.35">
      <c r="A8" s="93" t="s">
        <v>367</v>
      </c>
      <c r="B8" s="9">
        <f t="shared" ref="B8:G8" si="1">B3*(1-B7)</f>
        <v>2063.5086079992816</v>
      </c>
      <c r="C8" s="9">
        <f t="shared" si="1"/>
        <v>2203.9795495220046</v>
      </c>
      <c r="D8" s="9">
        <f t="shared" si="1"/>
        <v>2267.9350545266193</v>
      </c>
      <c r="E8" s="9">
        <f t="shared" si="1"/>
        <v>2504.0046685933835</v>
      </c>
      <c r="F8" s="9">
        <f t="shared" si="1"/>
        <v>4041.0273616859554</v>
      </c>
      <c r="G8" s="9">
        <f t="shared" si="1"/>
        <v>3415.8547027860782</v>
      </c>
      <c r="H8" s="92">
        <f>G8*(1+$B$26)</f>
        <v>3937.3083699967419</v>
      </c>
      <c r="I8" s="92">
        <f>H8*(1+$B$26)</f>
        <v>4538.3655188267112</v>
      </c>
      <c r="J8" s="92">
        <f>I8*(1+$B$26)</f>
        <v>5231.1781671528779</v>
      </c>
      <c r="K8" s="92">
        <f>J8*(1+$B$27)</f>
        <v>5545.0488571820506</v>
      </c>
      <c r="L8" s="92">
        <f>K8*(1+$B$27)</f>
        <v>5877.7517886129735</v>
      </c>
      <c r="M8" t="s">
        <v>19</v>
      </c>
    </row>
    <row r="9" spans="1:20" x14ac:dyDescent="0.3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20" x14ac:dyDescent="0.35">
      <c r="A10" s="93" t="s">
        <v>368</v>
      </c>
      <c r="B10" s="9">
        <f>'p&amp;l'!B15</f>
        <v>370.15</v>
      </c>
      <c r="C10" s="9">
        <f>'p&amp;l'!C15</f>
        <v>370.38</v>
      </c>
      <c r="D10" s="9">
        <f>'p&amp;l'!D15</f>
        <v>391.02</v>
      </c>
      <c r="E10" s="9">
        <f>'p&amp;l'!E15</f>
        <v>403.01</v>
      </c>
      <c r="F10" s="9">
        <f>'p&amp;l'!F15</f>
        <v>567.75</v>
      </c>
      <c r="G10" s="9">
        <f>'p&amp;l'!G15</f>
        <v>539.91999999999996</v>
      </c>
      <c r="H10" s="92">
        <f>G10*(1+$B$26)</f>
        <v>622.34249407468815</v>
      </c>
      <c r="I10" s="92">
        <f>H10*(1+$B$26)</f>
        <v>717.34734762761764</v>
      </c>
      <c r="J10" s="92">
        <f>I10*(1+$B$26)</f>
        <v>826.8553441999444</v>
      </c>
      <c r="K10" s="92">
        <f>J10*(1+$B$27)</f>
        <v>876.46666485194112</v>
      </c>
      <c r="L10" s="92">
        <f>K10*(1+$B$27)</f>
        <v>929.05466474305763</v>
      </c>
      <c r="M10" t="s">
        <v>19</v>
      </c>
    </row>
    <row r="11" spans="1:20" x14ac:dyDescent="0.35">
      <c r="A11" s="9"/>
      <c r="B11" s="9"/>
      <c r="C11" s="9"/>
      <c r="D11" s="9"/>
      <c r="E11" s="9"/>
      <c r="F11" s="9"/>
      <c r="G11" s="9"/>
      <c r="H11" s="92"/>
      <c r="I11" s="92"/>
      <c r="J11" s="92"/>
      <c r="K11" s="92"/>
      <c r="L11" s="92"/>
    </row>
    <row r="12" spans="1:20" x14ac:dyDescent="0.35">
      <c r="A12" s="9" t="s">
        <v>369</v>
      </c>
      <c r="B12" s="9"/>
      <c r="C12" s="9"/>
      <c r="D12" s="9"/>
      <c r="E12" s="9"/>
      <c r="F12" s="9"/>
      <c r="G12" s="9"/>
      <c r="H12" s="92"/>
      <c r="I12" s="92"/>
      <c r="J12" s="92"/>
      <c r="K12" s="92"/>
      <c r="L12" s="92"/>
    </row>
    <row r="13" spans="1:20" x14ac:dyDescent="0.35">
      <c r="A13" s="9" t="s">
        <v>370</v>
      </c>
      <c r="B13" s="10">
        <f>balance!B5</f>
        <v>2484.6999999999998</v>
      </c>
      <c r="C13" s="10">
        <f>balance!C5</f>
        <v>2817.99</v>
      </c>
      <c r="D13" s="10">
        <f>balance!D5</f>
        <v>3240.9</v>
      </c>
      <c r="E13" s="10">
        <f>balance!E5</f>
        <v>3402.06</v>
      </c>
      <c r="F13" s="10">
        <f>balance!F5</f>
        <v>5201.96</v>
      </c>
      <c r="G13" s="10">
        <f>balance!G5</f>
        <v>6646.17</v>
      </c>
      <c r="H13" s="92"/>
      <c r="I13" s="92"/>
      <c r="J13" s="92"/>
      <c r="K13" s="92"/>
      <c r="L13" s="92"/>
    </row>
    <row r="14" spans="1:20" x14ac:dyDescent="0.35">
      <c r="A14" s="9" t="s">
        <v>368</v>
      </c>
      <c r="B14" s="9">
        <f t="shared" ref="B14:G14" si="2">B10</f>
        <v>370.15</v>
      </c>
      <c r="C14" s="9">
        <f t="shared" si="2"/>
        <v>370.38</v>
      </c>
      <c r="D14" s="9">
        <f t="shared" si="2"/>
        <v>391.02</v>
      </c>
      <c r="E14" s="9">
        <f t="shared" si="2"/>
        <v>403.01</v>
      </c>
      <c r="F14" s="9">
        <f t="shared" si="2"/>
        <v>567.75</v>
      </c>
      <c r="G14" s="9">
        <f t="shared" si="2"/>
        <v>539.91999999999996</v>
      </c>
      <c r="H14" s="92"/>
      <c r="I14" s="92"/>
      <c r="J14" s="92"/>
      <c r="K14" s="92"/>
      <c r="L14" s="92"/>
    </row>
    <row r="15" spans="1:20" ht="15" customHeight="1" thickBot="1" x14ac:dyDescent="0.4">
      <c r="A15" s="9"/>
      <c r="B15" s="9"/>
      <c r="C15" s="10">
        <f>C13-B13</f>
        <v>333.28999999999996</v>
      </c>
      <c r="D15" s="10">
        <f>D13-C13</f>
        <v>422.91000000000031</v>
      </c>
      <c r="E15" s="10">
        <f>E13-D13</f>
        <v>161.15999999999985</v>
      </c>
      <c r="F15" s="10">
        <f>F13-E13</f>
        <v>1799.9</v>
      </c>
      <c r="G15" s="10">
        <f>G13-F13</f>
        <v>1444.21</v>
      </c>
      <c r="H15" s="92"/>
      <c r="I15" s="92"/>
      <c r="J15" s="92"/>
      <c r="K15" s="92"/>
      <c r="L15" s="92"/>
    </row>
    <row r="16" spans="1:20" x14ac:dyDescent="0.35">
      <c r="A16" s="93" t="s">
        <v>369</v>
      </c>
      <c r="B16" s="9"/>
      <c r="C16" s="10">
        <f>C15+C14</f>
        <v>703.67</v>
      </c>
      <c r="D16" s="10">
        <f>D15+D14</f>
        <v>813.93000000000029</v>
      </c>
      <c r="E16" s="10">
        <f>E15+E14</f>
        <v>564.16999999999985</v>
      </c>
      <c r="F16" s="10">
        <f>F15+F14</f>
        <v>2367.65</v>
      </c>
      <c r="G16" s="10">
        <f>G15+G14</f>
        <v>1984.13</v>
      </c>
      <c r="H16" s="92">
        <f>G16*(1+$B$26)</f>
        <v>2287.0210638028066</v>
      </c>
      <c r="I16" s="92">
        <f>H16*(1+$B$26)</f>
        <v>2636.1505275751692</v>
      </c>
      <c r="J16" s="92">
        <f>I16*(1+$B$26)</f>
        <v>3038.5770004582828</v>
      </c>
      <c r="K16" s="92">
        <f>J16*(1+$B$27)</f>
        <v>3220.8916204857801</v>
      </c>
      <c r="L16" s="92">
        <f>K16*(1+$B$27)</f>
        <v>3414.145117714927</v>
      </c>
      <c r="M16" t="s">
        <v>371</v>
      </c>
      <c r="N16" s="143" t="s">
        <v>372</v>
      </c>
      <c r="O16" s="129"/>
      <c r="P16" s="129"/>
      <c r="Q16" s="129"/>
      <c r="R16" s="129"/>
      <c r="S16" s="129"/>
      <c r="T16" s="130"/>
    </row>
    <row r="17" spans="1:25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N17" s="144"/>
      <c r="O17" s="118"/>
      <c r="P17" s="118"/>
      <c r="Q17" s="118"/>
      <c r="R17" s="118"/>
      <c r="S17" s="118"/>
      <c r="T17" s="134"/>
    </row>
    <row r="18" spans="1:25" x14ac:dyDescent="0.35">
      <c r="A18" s="9" t="s">
        <v>373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N18" s="144"/>
      <c r="O18" s="118"/>
      <c r="P18" s="118"/>
      <c r="Q18" s="118"/>
      <c r="R18" s="118"/>
      <c r="S18" s="118"/>
      <c r="T18" s="134"/>
    </row>
    <row r="19" spans="1:25" x14ac:dyDescent="0.35">
      <c r="A19" s="9" t="s">
        <v>374</v>
      </c>
      <c r="B19" s="10">
        <f>balance!B36+balance!B40+balance!B47</f>
        <v>1433.4199999999998</v>
      </c>
      <c r="C19" s="10">
        <f>balance!C36+balance!C40+balance!C47</f>
        <v>1620.0900000000001</v>
      </c>
      <c r="D19" s="10">
        <f>balance!D36+balance!D40+balance!D47</f>
        <v>1853.8700000000001</v>
      </c>
      <c r="E19" s="10">
        <f>balance!E36+balance!E40+balance!E47</f>
        <v>2258.73</v>
      </c>
      <c r="F19" s="10">
        <f>balance!F36+balance!F40+balance!F47</f>
        <v>2618.61</v>
      </c>
      <c r="G19" s="10">
        <f>balance!G36+balance!G40+balance!G47</f>
        <v>3603.48</v>
      </c>
      <c r="H19" s="9"/>
      <c r="I19" s="9"/>
      <c r="J19" s="9"/>
      <c r="K19" s="9"/>
      <c r="L19" s="9"/>
      <c r="N19" s="144"/>
      <c r="O19" s="118"/>
      <c r="P19" s="118"/>
      <c r="Q19" s="118"/>
      <c r="R19" s="118"/>
      <c r="S19" s="118"/>
      <c r="T19" s="134"/>
    </row>
    <row r="20" spans="1:25" x14ac:dyDescent="0.35">
      <c r="A20" s="9" t="s">
        <v>375</v>
      </c>
      <c r="B20" s="10">
        <f>balance!B98+balance!B101+balance!B103</f>
        <v>1710.95</v>
      </c>
      <c r="C20" s="10">
        <f>balance!C98+balance!C101+balance!C103</f>
        <v>1771.55</v>
      </c>
      <c r="D20" s="10">
        <f>balance!D98+balance!D101+balance!D103</f>
        <v>2057.2600000000002</v>
      </c>
      <c r="E20" s="10">
        <f>balance!E98+balance!E101+balance!E103</f>
        <v>2512.6099999999997</v>
      </c>
      <c r="F20" s="10">
        <f>balance!F98+balance!F101+balance!F103</f>
        <v>3213.01</v>
      </c>
      <c r="G20" s="10">
        <f>balance!G98+balance!G101+balance!G103</f>
        <v>3081.96</v>
      </c>
      <c r="H20" s="9"/>
      <c r="I20" s="9"/>
      <c r="J20" s="9"/>
      <c r="K20" s="9"/>
      <c r="L20" s="9"/>
      <c r="N20" s="144"/>
      <c r="O20" s="118"/>
      <c r="P20" s="118"/>
      <c r="Q20" s="118"/>
      <c r="R20" s="118"/>
      <c r="S20" s="118"/>
      <c r="T20" s="134"/>
    </row>
    <row r="21" spans="1:25" x14ac:dyDescent="0.35">
      <c r="A21" s="9" t="s">
        <v>376</v>
      </c>
      <c r="B21" s="10">
        <f t="shared" ref="B21:G21" si="3">B19-B20</f>
        <v>-277.5300000000002</v>
      </c>
      <c r="C21" s="10">
        <f t="shared" si="3"/>
        <v>-151.45999999999981</v>
      </c>
      <c r="D21" s="10">
        <f t="shared" si="3"/>
        <v>-203.3900000000001</v>
      </c>
      <c r="E21" s="10">
        <f t="shared" si="3"/>
        <v>-253.87999999999965</v>
      </c>
      <c r="F21" s="10">
        <f t="shared" si="3"/>
        <v>-594.40000000000009</v>
      </c>
      <c r="G21" s="10">
        <f t="shared" si="3"/>
        <v>521.52</v>
      </c>
      <c r="H21" s="9"/>
      <c r="I21" s="9"/>
      <c r="J21" s="9"/>
      <c r="K21" s="9"/>
      <c r="L21" s="9"/>
      <c r="N21" s="144"/>
      <c r="O21" s="118"/>
      <c r="P21" s="118"/>
      <c r="Q21" s="118"/>
      <c r="R21" s="118"/>
      <c r="S21" s="118"/>
      <c r="T21" s="134"/>
    </row>
    <row r="22" spans="1:25" x14ac:dyDescent="0.35">
      <c r="A22" s="93" t="s">
        <v>377</v>
      </c>
      <c r="B22" s="9"/>
      <c r="C22" s="10">
        <f>C21-B21</f>
        <v>126.07000000000039</v>
      </c>
      <c r="D22" s="10">
        <f>D21-C21</f>
        <v>-51.930000000000291</v>
      </c>
      <c r="E22" s="10">
        <f>E21-D21</f>
        <v>-50.489999999999554</v>
      </c>
      <c r="F22" s="10">
        <f>F21-E21</f>
        <v>-340.52000000000044</v>
      </c>
      <c r="G22" s="10">
        <f>G21-F21</f>
        <v>1115.92</v>
      </c>
      <c r="H22" s="10">
        <f>AVERAGE($C$22:$F$22)</f>
        <v>-79.217499999999973</v>
      </c>
      <c r="I22" s="10">
        <f>AVERAGE($C$22:$F$22)</f>
        <v>-79.217499999999973</v>
      </c>
      <c r="J22" s="10">
        <f>AVERAGE($C$22:$F$22)</f>
        <v>-79.217499999999973</v>
      </c>
      <c r="K22" s="10">
        <f>AVERAGE($C$22:$F$22)</f>
        <v>-79.217499999999973</v>
      </c>
      <c r="L22" s="10">
        <f>AVERAGE($C$22:$F$22)</f>
        <v>-79.217499999999973</v>
      </c>
      <c r="M22" t="s">
        <v>378</v>
      </c>
      <c r="N22" s="144"/>
      <c r="O22" s="118"/>
      <c r="P22" s="118"/>
      <c r="Q22" s="118"/>
      <c r="R22" s="118"/>
      <c r="S22" s="118"/>
      <c r="T22" s="134"/>
    </row>
    <row r="23" spans="1:25" x14ac:dyDescent="0.3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N23" s="144"/>
      <c r="O23" s="118"/>
      <c r="P23" s="118"/>
      <c r="Q23" s="118"/>
      <c r="R23" s="118"/>
      <c r="S23" s="118"/>
      <c r="T23" s="134"/>
    </row>
    <row r="24" spans="1:25" ht="15" customHeight="1" thickBot="1" x14ac:dyDescent="0.4">
      <c r="A24" s="68" t="s">
        <v>379</v>
      </c>
      <c r="B24" s="9">
        <f t="shared" ref="B24:L24" si="4">B8+B10-B16-B22</f>
        <v>2433.6586079992817</v>
      </c>
      <c r="C24" s="9">
        <f t="shared" si="4"/>
        <v>1744.6195495220043</v>
      </c>
      <c r="D24" s="9">
        <f t="shared" si="4"/>
        <v>1896.9550545266193</v>
      </c>
      <c r="E24" s="9">
        <f t="shared" si="4"/>
        <v>2393.334668593383</v>
      </c>
      <c r="F24" s="9">
        <f t="shared" si="4"/>
        <v>2581.6473616859562</v>
      </c>
      <c r="G24" s="9">
        <f t="shared" si="4"/>
        <v>855.72470278607807</v>
      </c>
      <c r="H24" s="9">
        <f t="shared" si="4"/>
        <v>2351.8473002686233</v>
      </c>
      <c r="I24" s="9">
        <f t="shared" si="4"/>
        <v>2698.7798388791598</v>
      </c>
      <c r="J24" s="9">
        <f t="shared" si="4"/>
        <v>3098.6740108945396</v>
      </c>
      <c r="K24" s="9">
        <f t="shared" si="4"/>
        <v>3279.8414015482122</v>
      </c>
      <c r="L24" s="9">
        <f t="shared" si="4"/>
        <v>3471.8788356411042</v>
      </c>
      <c r="N24" s="145"/>
      <c r="O24" s="146"/>
      <c r="P24" s="146"/>
      <c r="Q24" s="146"/>
      <c r="R24" s="146"/>
      <c r="S24" s="146"/>
      <c r="T24" s="147"/>
    </row>
    <row r="26" spans="1:25" x14ac:dyDescent="0.35">
      <c r="A26" t="s">
        <v>380</v>
      </c>
      <c r="B26" s="32">
        <f>'DDM VALUE '!B14</f>
        <v>0.1526568641181808</v>
      </c>
    </row>
    <row r="27" spans="1:25" x14ac:dyDescent="0.35">
      <c r="A27" t="s">
        <v>381</v>
      </c>
      <c r="B27" s="32">
        <f>'DDM VALUE '!B15</f>
        <v>0.06</v>
      </c>
    </row>
    <row r="29" spans="1:25" x14ac:dyDescent="0.35">
      <c r="A29" s="95" t="s">
        <v>382</v>
      </c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</row>
    <row r="30" spans="1:25" x14ac:dyDescent="0.35">
      <c r="A30" s="97" t="s">
        <v>383</v>
      </c>
      <c r="B30" s="98">
        <f>wacc!B22</f>
        <v>8.4242378460650705E-2</v>
      </c>
      <c r="C30" s="99" t="s">
        <v>384</v>
      </c>
      <c r="Y30" t="s">
        <v>385</v>
      </c>
    </row>
    <row r="31" spans="1:25" x14ac:dyDescent="0.35">
      <c r="A31" s="97" t="s">
        <v>386</v>
      </c>
      <c r="B31" s="100">
        <f>B27</f>
        <v>0.06</v>
      </c>
      <c r="C31" s="99" t="s">
        <v>387</v>
      </c>
    </row>
    <row r="32" spans="1:25" x14ac:dyDescent="0.35">
      <c r="A32" s="97" t="s">
        <v>388</v>
      </c>
      <c r="B32" s="101">
        <v>0.25</v>
      </c>
      <c r="C32" s="99" t="s">
        <v>389</v>
      </c>
    </row>
    <row r="33" spans="1:12" x14ac:dyDescent="0.35">
      <c r="A33" s="97" t="s">
        <v>390</v>
      </c>
      <c r="B33" s="102">
        <f>balance!G65</f>
        <v>96.42</v>
      </c>
      <c r="C33" s="99" t="s">
        <v>391</v>
      </c>
    </row>
    <row r="34" spans="1:12" x14ac:dyDescent="0.35">
      <c r="A34" s="97" t="s">
        <v>392</v>
      </c>
      <c r="B34" s="102">
        <f>'DDM VALUE '!B35</f>
        <v>1241</v>
      </c>
      <c r="C34" s="99" t="s">
        <v>393</v>
      </c>
    </row>
    <row r="35" spans="1:12" x14ac:dyDescent="0.35">
      <c r="A35" s="97" t="s">
        <v>394</v>
      </c>
      <c r="B35" s="100">
        <f>G8/(G13+G21)</f>
        <v>0.47656284002043586</v>
      </c>
      <c r="C35" s="99" t="s">
        <v>395</v>
      </c>
    </row>
    <row r="36" spans="1:12" x14ac:dyDescent="0.35">
      <c r="A36" s="103"/>
    </row>
    <row r="37" spans="1:12" x14ac:dyDescent="0.35">
      <c r="A37" s="104" t="s">
        <v>396</v>
      </c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</row>
    <row r="38" spans="1:12" x14ac:dyDescent="0.35">
      <c r="A38" s="97" t="s">
        <v>44</v>
      </c>
      <c r="H38" s="105">
        <f>H2</f>
        <v>2026</v>
      </c>
      <c r="I38" s="105">
        <f>I2</f>
        <v>2027</v>
      </c>
      <c r="J38" s="105">
        <f>J2</f>
        <v>2028</v>
      </c>
    </row>
    <row r="39" spans="1:12" x14ac:dyDescent="0.35">
      <c r="A39" s="97" t="s">
        <v>397</v>
      </c>
      <c r="H39" s="99" t="s">
        <v>398</v>
      </c>
      <c r="I39" s="99" t="s">
        <v>398</v>
      </c>
      <c r="J39" s="99" t="s">
        <v>398</v>
      </c>
    </row>
    <row r="40" spans="1:12" x14ac:dyDescent="0.35">
      <c r="A40" s="97" t="s">
        <v>379</v>
      </c>
      <c r="H40" s="106">
        <f>H24</f>
        <v>2351.8473002686233</v>
      </c>
      <c r="I40" s="106">
        <f>I24</f>
        <v>2698.7798388791598</v>
      </c>
      <c r="J40" s="106">
        <f>J24</f>
        <v>3098.6740108945396</v>
      </c>
    </row>
    <row r="41" spans="1:12" x14ac:dyDescent="0.35">
      <c r="A41" s="97" t="s">
        <v>399</v>
      </c>
      <c r="H41" s="107">
        <v>1</v>
      </c>
      <c r="I41" s="107">
        <f>H41+1</f>
        <v>2</v>
      </c>
      <c r="J41" s="107">
        <f>I41+1</f>
        <v>3</v>
      </c>
    </row>
    <row r="42" spans="1:12" x14ac:dyDescent="0.35">
      <c r="A42" s="97" t="s">
        <v>400</v>
      </c>
      <c r="H42" s="108">
        <f>1/(1+$B$30)^H41</f>
        <v>0.92230300149284561</v>
      </c>
      <c r="I42" s="108">
        <f>1/(1+$B$30)^I41</f>
        <v>0.85064282656271195</v>
      </c>
      <c r="J42" s="108">
        <f>1/(1+$B$30)^J41</f>
        <v>0.78455043213714737</v>
      </c>
    </row>
    <row r="43" spans="1:12" x14ac:dyDescent="0.35">
      <c r="A43" s="97" t="s">
        <v>401</v>
      </c>
      <c r="H43" s="106">
        <f>H40*H42</f>
        <v>2169.115824090597</v>
      </c>
      <c r="I43" s="106">
        <f>I40*I42</f>
        <v>2295.697710414629</v>
      </c>
      <c r="J43" s="106">
        <f>J40*J42</f>
        <v>2431.0660342994588</v>
      </c>
    </row>
    <row r="44" spans="1:12" x14ac:dyDescent="0.35">
      <c r="A44" s="103"/>
    </row>
    <row r="45" spans="1:12" x14ac:dyDescent="0.35">
      <c r="A45" s="104" t="s">
        <v>402</v>
      </c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</row>
    <row r="46" spans="1:12" x14ac:dyDescent="0.35">
      <c r="A46" s="97" t="s">
        <v>403</v>
      </c>
      <c r="B46" s="106">
        <f>K8</f>
        <v>5545.0488571820506</v>
      </c>
    </row>
    <row r="47" spans="1:12" x14ac:dyDescent="0.35">
      <c r="A47" s="97" t="s">
        <v>404</v>
      </c>
      <c r="B47" s="100">
        <f>B31/B32</f>
        <v>0.24</v>
      </c>
      <c r="C47" s="99" t="s">
        <v>405</v>
      </c>
    </row>
    <row r="48" spans="1:12" x14ac:dyDescent="0.35">
      <c r="A48" s="97" t="s">
        <v>406</v>
      </c>
      <c r="B48" s="106">
        <f>B46*(1-B47)</f>
        <v>4214.2371314583588</v>
      </c>
    </row>
    <row r="49" spans="1:12" x14ac:dyDescent="0.35">
      <c r="A49" s="97" t="s">
        <v>407</v>
      </c>
      <c r="B49" s="106">
        <f>B48/(B30-B31)</f>
        <v>173837.60996466357</v>
      </c>
      <c r="C49" s="99" t="s">
        <v>408</v>
      </c>
    </row>
    <row r="50" spans="1:12" x14ac:dyDescent="0.35">
      <c r="A50" s="97" t="s">
        <v>409</v>
      </c>
      <c r="B50" s="106">
        <f>B49*J42</f>
        <v>136384.37201946569</v>
      </c>
    </row>
    <row r="51" spans="1:12" x14ac:dyDescent="0.35">
      <c r="A51" s="97" t="s">
        <v>410</v>
      </c>
      <c r="B51" s="106">
        <f>K24</f>
        <v>3279.8414015482122</v>
      </c>
      <c r="C51" s="99" t="s">
        <v>411</v>
      </c>
    </row>
    <row r="52" spans="1:12" x14ac:dyDescent="0.35">
      <c r="A52" s="103"/>
    </row>
    <row r="53" spans="1:12" x14ac:dyDescent="0.35">
      <c r="A53" s="104" t="s">
        <v>412</v>
      </c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</row>
    <row r="54" spans="1:12" x14ac:dyDescent="0.35">
      <c r="A54" s="97" t="s">
        <v>413</v>
      </c>
      <c r="B54" s="106">
        <f>SUM(H43:J43)</f>
        <v>6895.8795688046848</v>
      </c>
    </row>
    <row r="55" spans="1:12" x14ac:dyDescent="0.35">
      <c r="A55" s="97" t="s">
        <v>409</v>
      </c>
      <c r="B55" s="106">
        <f>B50</f>
        <v>136384.37201946569</v>
      </c>
    </row>
    <row r="56" spans="1:12" x14ac:dyDescent="0.35">
      <c r="A56" s="109" t="s">
        <v>414</v>
      </c>
      <c r="B56" s="110">
        <f>B54+B55</f>
        <v>143280.25158827039</v>
      </c>
    </row>
    <row r="57" spans="1:12" x14ac:dyDescent="0.35">
      <c r="A57" s="97" t="s">
        <v>415</v>
      </c>
      <c r="B57" s="102">
        <f>wacc!B10</f>
        <v>1166.8499999999999</v>
      </c>
    </row>
    <row r="58" spans="1:12" x14ac:dyDescent="0.35">
      <c r="A58" s="97" t="s">
        <v>416</v>
      </c>
      <c r="B58" s="102">
        <f>balance!G41+balance!G42+balance!G39</f>
        <v>95.65</v>
      </c>
      <c r="C58" s="99" t="s">
        <v>417</v>
      </c>
    </row>
    <row r="59" spans="1:12" x14ac:dyDescent="0.35">
      <c r="A59" s="97" t="s">
        <v>418</v>
      </c>
      <c r="B59" s="102">
        <f>balance!G16+balance!G19</f>
        <v>705.6</v>
      </c>
      <c r="C59" s="99" t="s">
        <v>419</v>
      </c>
    </row>
    <row r="60" spans="1:12" x14ac:dyDescent="0.35">
      <c r="A60" s="109" t="s">
        <v>420</v>
      </c>
      <c r="B60" s="110">
        <f>B56-B57+B58+B59</f>
        <v>142914.65158827038</v>
      </c>
    </row>
    <row r="61" spans="1:12" x14ac:dyDescent="0.35">
      <c r="A61" s="111" t="s">
        <v>421</v>
      </c>
      <c r="B61" s="112">
        <f>B60/B33</f>
        <v>1482.2096202890518</v>
      </c>
    </row>
    <row r="62" spans="1:12" x14ac:dyDescent="0.35">
      <c r="A62" s="97" t="s">
        <v>392</v>
      </c>
      <c r="B62" s="106">
        <f>B34</f>
        <v>1241</v>
      </c>
    </row>
    <row r="63" spans="1:12" x14ac:dyDescent="0.35">
      <c r="A63" s="97" t="s">
        <v>422</v>
      </c>
      <c r="B63" s="106">
        <f>B61-B62</f>
        <v>241.20962028905183</v>
      </c>
      <c r="C63" s="99" t="s">
        <v>423</v>
      </c>
    </row>
    <row r="64" spans="1:12" x14ac:dyDescent="0.35">
      <c r="A64" s="97" t="s">
        <v>424</v>
      </c>
      <c r="B64" s="100">
        <f>B63/B62</f>
        <v>0.19436713963662516</v>
      </c>
    </row>
    <row r="65" spans="1:12" x14ac:dyDescent="0.35">
      <c r="A65" s="111" t="s">
        <v>359</v>
      </c>
      <c r="B65" s="113" t="str">
        <f>IF(B61&gt;B62,"UNDERVALUED","OVERVALUED")</f>
        <v>UNDERVALUED</v>
      </c>
    </row>
    <row r="66" spans="1:12" x14ac:dyDescent="0.35">
      <c r="A66" s="97" t="s">
        <v>425</v>
      </c>
      <c r="B66" s="100">
        <f>B55/B56</f>
        <v>0.95187138846865882</v>
      </c>
    </row>
    <row r="67" spans="1:12" x14ac:dyDescent="0.35">
      <c r="A67" s="97" t="s">
        <v>426</v>
      </c>
      <c r="B67" s="102">
        <f>'DDM VALUE '!B34</f>
        <v>1558.0610551836323</v>
      </c>
    </row>
    <row r="68" spans="1:12" x14ac:dyDescent="0.35">
      <c r="A68" s="103"/>
    </row>
    <row r="69" spans="1:12" x14ac:dyDescent="0.35">
      <c r="A69" s="104" t="s">
        <v>442</v>
      </c>
      <c r="B69" s="96"/>
      <c r="C69" s="96"/>
      <c r="D69" s="96"/>
      <c r="E69" s="96"/>
      <c r="F69" s="96"/>
      <c r="G69" s="96"/>
      <c r="H69" s="96"/>
      <c r="I69" s="96"/>
      <c r="J69" s="96"/>
      <c r="K69" s="96"/>
      <c r="L69" s="96"/>
    </row>
    <row r="70" spans="1:12" x14ac:dyDescent="0.35">
      <c r="A70" s="149">
        <f>B61</f>
        <v>1482.2096202890518</v>
      </c>
      <c r="B70" s="39">
        <v>0.04</v>
      </c>
      <c r="C70" s="39">
        <v>0.05</v>
      </c>
      <c r="D70" s="39">
        <v>0.06</v>
      </c>
      <c r="E70" s="39">
        <v>7.0000000000000007E-2</v>
      </c>
      <c r="F70" s="114"/>
      <c r="G70" s="114"/>
    </row>
    <row r="71" spans="1:12" x14ac:dyDescent="0.35">
      <c r="A71" s="39">
        <v>0.13</v>
      </c>
      <c r="B71">
        <f t="dataTable" ref="B71:E74" dt2D="1" dtr="1" r1="B27" r2="B26"/>
        <v>856.86595687052238</v>
      </c>
      <c r="C71">
        <v>1048.7732555635948</v>
      </c>
      <c r="D71">
        <v>1397.6809378365265</v>
      </c>
      <c r="E71">
        <v>2234.2930023513923</v>
      </c>
      <c r="F71" s="116"/>
      <c r="G71" s="116"/>
    </row>
    <row r="72" spans="1:12" x14ac:dyDescent="0.35">
      <c r="A72" s="39">
        <v>0.14000000000000001</v>
      </c>
      <c r="B72">
        <v>879.2795330429658</v>
      </c>
      <c r="C72">
        <v>1076.3269362428684</v>
      </c>
      <c r="D72">
        <v>1434.5798699071345</v>
      </c>
      <c r="E72">
        <v>2293.6000109910879</v>
      </c>
      <c r="F72" s="116"/>
      <c r="G72" s="116"/>
    </row>
    <row r="73" spans="1:12" x14ac:dyDescent="0.35">
      <c r="A73" s="39">
        <v>0.1527</v>
      </c>
      <c r="B73">
        <v>908.30715336570063</v>
      </c>
      <c r="C73">
        <v>1112.0137257697456</v>
      </c>
      <c r="D73">
        <v>1482.3737304453987</v>
      </c>
      <c r="E73">
        <v>2370.4242488718078</v>
      </c>
      <c r="F73" s="116"/>
      <c r="G73" s="116"/>
    </row>
    <row r="74" spans="1:12" x14ac:dyDescent="0.35">
      <c r="A74" s="39">
        <v>0.16</v>
      </c>
      <c r="B74">
        <v>925.27960295053356</v>
      </c>
      <c r="C74">
        <v>1132.8809320133994</v>
      </c>
      <c r="D74">
        <v>1510.3220145224693</v>
      </c>
      <c r="E74">
        <v>2415.3515662181189</v>
      </c>
      <c r="F74" s="116"/>
      <c r="G74" s="116"/>
    </row>
    <row r="75" spans="1:12" x14ac:dyDescent="0.35">
      <c r="A75" s="103"/>
      <c r="B75" s="115"/>
      <c r="C75" s="116"/>
      <c r="D75" s="116"/>
      <c r="E75" s="116"/>
      <c r="F75" s="116"/>
      <c r="G75" s="116"/>
    </row>
    <row r="76" spans="1:12" x14ac:dyDescent="0.35">
      <c r="A76" s="103"/>
    </row>
  </sheetData>
  <mergeCells count="2">
    <mergeCell ref="N16:T24"/>
    <mergeCell ref="A1:L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51"/>
  <sheetViews>
    <sheetView zoomScale="94" workbookViewId="0">
      <selection activeCell="K18" sqref="K18"/>
    </sheetView>
  </sheetViews>
  <sheetFormatPr defaultRowHeight="14.5" x14ac:dyDescent="0.35"/>
  <cols>
    <col min="1" max="1" width="24.08984375" bestFit="1" customWidth="1"/>
    <col min="2" max="7" width="9.26953125" bestFit="1" customWidth="1"/>
    <col min="8" max="8" width="12.26953125" customWidth="1"/>
    <col min="9" max="9" width="13.7265625" bestFit="1" customWidth="1"/>
    <col min="10" max="10" width="14.453125" customWidth="1"/>
    <col min="11" max="12" width="11.81640625" bestFit="1" customWidth="1"/>
    <col min="13" max="13" width="27.08984375" bestFit="1" customWidth="1"/>
  </cols>
  <sheetData>
    <row r="1" spans="1:14" x14ac:dyDescent="0.35">
      <c r="A1" s="119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</row>
    <row r="2" spans="1:14" x14ac:dyDescent="0.35">
      <c r="M2" s="33" t="s">
        <v>1</v>
      </c>
      <c r="N2" s="33" t="s">
        <v>2</v>
      </c>
    </row>
    <row r="3" spans="1:14" x14ac:dyDescent="0.35">
      <c r="A3" s="80" t="s">
        <v>3</v>
      </c>
      <c r="H3" s="85" t="s">
        <v>4</v>
      </c>
      <c r="I3" s="29"/>
      <c r="J3" s="86" t="s">
        <v>5</v>
      </c>
      <c r="M3" s="34" t="s">
        <v>6</v>
      </c>
      <c r="N3" s="34" t="s">
        <v>7</v>
      </c>
    </row>
    <row r="4" spans="1:14" x14ac:dyDescent="0.35">
      <c r="H4" s="85" t="s">
        <v>8</v>
      </c>
      <c r="I4" s="85" t="s">
        <v>9</v>
      </c>
      <c r="J4" s="87">
        <f>'DIVDEND DATA'!B40</f>
        <v>0.1526568641181808</v>
      </c>
    </row>
    <row r="5" spans="1:14" x14ac:dyDescent="0.35">
      <c r="H5" s="85" t="s">
        <v>10</v>
      </c>
      <c r="I5" s="85" t="s">
        <v>11</v>
      </c>
      <c r="J5" s="87">
        <v>9.6100000000000005E-2</v>
      </c>
    </row>
    <row r="6" spans="1:14" x14ac:dyDescent="0.35">
      <c r="H6" s="85" t="s">
        <v>12</v>
      </c>
      <c r="I6" s="85" t="s">
        <v>13</v>
      </c>
      <c r="J6" s="87">
        <f>J5-0.02</f>
        <v>7.6100000000000001E-2</v>
      </c>
    </row>
    <row r="8" spans="1:14" x14ac:dyDescent="0.35">
      <c r="A8" s="80" t="s">
        <v>14</v>
      </c>
      <c r="B8" s="79"/>
      <c r="C8" s="78"/>
      <c r="D8" s="78"/>
      <c r="E8" s="78"/>
      <c r="F8" s="78"/>
      <c r="G8" s="78"/>
    </row>
    <row r="9" spans="1:14" x14ac:dyDescent="0.35">
      <c r="A9" s="120" t="s">
        <v>15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</row>
    <row r="10" spans="1:14" x14ac:dyDescent="0.35">
      <c r="A10" s="81" t="s">
        <v>16</v>
      </c>
      <c r="B10" s="90">
        <v>2019</v>
      </c>
      <c r="C10" s="90">
        <v>2020</v>
      </c>
      <c r="D10" s="90">
        <v>2021</v>
      </c>
      <c r="E10" s="90">
        <v>2022</v>
      </c>
      <c r="F10" s="90">
        <v>2024</v>
      </c>
      <c r="G10" s="90">
        <v>2025</v>
      </c>
      <c r="H10" s="89">
        <v>2026</v>
      </c>
      <c r="I10" s="89">
        <v>2027</v>
      </c>
      <c r="J10" s="89">
        <v>2028</v>
      </c>
      <c r="K10" s="89">
        <v>2029</v>
      </c>
      <c r="L10" s="89">
        <v>2030</v>
      </c>
      <c r="M10" t="s">
        <v>17</v>
      </c>
    </row>
    <row r="11" spans="1:14" x14ac:dyDescent="0.35">
      <c r="A11" s="82" t="s">
        <v>18</v>
      </c>
      <c r="B11" s="91">
        <f>'p&amp;l'!B5</f>
        <v>12368.9</v>
      </c>
      <c r="C11" s="91">
        <f>'p&amp;l'!C5</f>
        <v>13350.03</v>
      </c>
      <c r="D11" s="91">
        <f>'p&amp;l'!D5</f>
        <v>14740.59</v>
      </c>
      <c r="E11" s="91">
        <f>'p&amp;l'!E5</f>
        <v>16896.96</v>
      </c>
      <c r="F11" s="91">
        <f>'p&amp;l'!F5</f>
        <v>24393.89</v>
      </c>
      <c r="G11" s="91">
        <f>'p&amp;l'!G5</f>
        <v>20201.560000000001</v>
      </c>
      <c r="H11" s="34">
        <f>G11*(1+'DIVDEND DATA'!$B$40)</f>
        <v>23285.466799895279</v>
      </c>
      <c r="I11" s="34">
        <f>H11*(1+'DIVDEND DATA'!$B$40)</f>
        <v>26840.153141095307</v>
      </c>
      <c r="J11" s="34">
        <f>I11*(1+'DIVDEND DATA'!$B$40)</f>
        <v>30937.486752066659</v>
      </c>
      <c r="K11" s="34">
        <f>J11*(1+'DIVDEND DATA'!$B$40)</f>
        <v>35660.30646333492</v>
      </c>
      <c r="L11" s="34">
        <f>K11*(1+'DIVDEND DATA'!$B$40)</f>
        <v>41104.097021520931</v>
      </c>
      <c r="M11" t="s">
        <v>19</v>
      </c>
    </row>
    <row r="12" spans="1:14" x14ac:dyDescent="0.35">
      <c r="A12" s="82" t="s">
        <v>20</v>
      </c>
      <c r="B12" s="33"/>
      <c r="C12" s="49">
        <f t="shared" ref="C12:L12" si="0">(C11-B11)/B11</f>
        <v>7.9322332624566533E-2</v>
      </c>
      <c r="D12" s="49">
        <f t="shared" si="0"/>
        <v>0.10416156368187933</v>
      </c>
      <c r="E12" s="49">
        <f t="shared" si="0"/>
        <v>0.14628790299438482</v>
      </c>
      <c r="F12" s="49">
        <f t="shared" si="0"/>
        <v>0.44368513626119732</v>
      </c>
      <c r="G12" s="49">
        <f t="shared" si="0"/>
        <v>-0.17185983867271673</v>
      </c>
      <c r="H12" s="35">
        <f t="shared" si="0"/>
        <v>0.15265686411818086</v>
      </c>
      <c r="I12" s="35">
        <f t="shared" si="0"/>
        <v>0.15265686411818097</v>
      </c>
      <c r="J12" s="35">
        <f t="shared" si="0"/>
        <v>0.15265686411818091</v>
      </c>
      <c r="K12" s="35">
        <f t="shared" si="0"/>
        <v>0.15265686411818088</v>
      </c>
      <c r="L12" s="35">
        <f t="shared" si="0"/>
        <v>0.152656864118181</v>
      </c>
    </row>
    <row r="13" spans="1:14" x14ac:dyDescent="0.35">
      <c r="A13" s="50"/>
      <c r="B13" s="33"/>
      <c r="C13" s="33"/>
      <c r="D13" s="33"/>
      <c r="E13" s="33"/>
      <c r="F13" s="33"/>
      <c r="G13" s="33"/>
      <c r="H13" s="34"/>
      <c r="I13" s="34"/>
      <c r="J13" s="34"/>
      <c r="K13" s="34"/>
      <c r="L13" s="34"/>
    </row>
    <row r="14" spans="1:14" x14ac:dyDescent="0.35">
      <c r="A14" s="82" t="s">
        <v>21</v>
      </c>
      <c r="B14" s="33">
        <f>'p&amp;l'!B6</f>
        <v>246.88</v>
      </c>
      <c r="C14" s="33">
        <f>'p&amp;l'!C6</f>
        <v>145.85</v>
      </c>
      <c r="D14" s="33">
        <f>'p&amp;l'!D6</f>
        <v>120.15</v>
      </c>
      <c r="E14" s="33">
        <f>'p&amp;l'!E6</f>
        <v>101</v>
      </c>
      <c r="F14" s="33">
        <f>'p&amp;l'!F6</f>
        <v>147.96</v>
      </c>
      <c r="G14" s="33">
        <f>'p&amp;l'!G6</f>
        <v>58.86</v>
      </c>
      <c r="H14" s="34">
        <f>H11*AVERAGE($B15:G15)</f>
        <v>209.53918544109314</v>
      </c>
      <c r="I14" s="34">
        <f>I11*AVERAGE($B15:H15)</f>
        <v>241.52678040040843</v>
      </c>
      <c r="J14" s="34">
        <f>J11*AVERAGE($B15:I15)</f>
        <v>278.39750129689531</v>
      </c>
      <c r="K14" s="34">
        <f>K11*AVERAGE($B15:J15)</f>
        <v>320.89679082321652</v>
      </c>
      <c r="L14" s="34">
        <f>L11*AVERAGE($B15:K15)</f>
        <v>369.88388861587663</v>
      </c>
    </row>
    <row r="15" spans="1:14" x14ac:dyDescent="0.35">
      <c r="A15" s="82" t="s">
        <v>22</v>
      </c>
      <c r="B15" s="49">
        <f t="shared" ref="B15:L15" si="1">B14/B11</f>
        <v>1.9959737729304951E-2</v>
      </c>
      <c r="C15" s="49">
        <f t="shared" si="1"/>
        <v>1.0925069082241761E-2</v>
      </c>
      <c r="D15" s="49">
        <f t="shared" si="1"/>
        <v>8.1509627497949547E-3</v>
      </c>
      <c r="E15" s="49">
        <f t="shared" si="1"/>
        <v>5.9774065867469655E-3</v>
      </c>
      <c r="F15" s="49">
        <f t="shared" si="1"/>
        <v>6.0654532753898621E-3</v>
      </c>
      <c r="G15" s="49">
        <f t="shared" si="1"/>
        <v>2.9136363726365686E-3</v>
      </c>
      <c r="H15" s="35">
        <f t="shared" si="1"/>
        <v>8.9987109660191779E-3</v>
      </c>
      <c r="I15" s="35">
        <f t="shared" si="1"/>
        <v>8.9987109660191779E-3</v>
      </c>
      <c r="J15" s="35">
        <f t="shared" si="1"/>
        <v>8.9987109660191796E-3</v>
      </c>
      <c r="K15" s="35">
        <f t="shared" si="1"/>
        <v>8.9987109660191779E-3</v>
      </c>
      <c r="L15" s="35">
        <f t="shared" si="1"/>
        <v>8.9987109660191779E-3</v>
      </c>
      <c r="M15" s="34"/>
    </row>
    <row r="16" spans="1:14" x14ac:dyDescent="0.35">
      <c r="A16" s="50"/>
      <c r="B16" s="33"/>
      <c r="C16" s="33"/>
      <c r="D16" s="33"/>
      <c r="E16" s="33"/>
      <c r="F16" s="33"/>
      <c r="G16" s="33"/>
      <c r="H16" s="34"/>
      <c r="I16" s="34"/>
      <c r="J16" s="34"/>
      <c r="K16" s="34"/>
      <c r="L16" s="34"/>
    </row>
    <row r="17" spans="1:12" x14ac:dyDescent="0.35">
      <c r="A17" s="82" t="s">
        <v>23</v>
      </c>
      <c r="B17" s="91"/>
      <c r="C17" s="91"/>
      <c r="D17" s="91"/>
      <c r="E17" s="91"/>
      <c r="F17" s="91"/>
      <c r="G17" s="91"/>
      <c r="H17" s="34"/>
      <c r="I17" s="34"/>
      <c r="J17" s="34"/>
      <c r="K17" s="34"/>
      <c r="L17" s="34"/>
    </row>
    <row r="18" spans="1:12" x14ac:dyDescent="0.35">
      <c r="A18" s="82" t="s">
        <v>22</v>
      </c>
      <c r="B18" s="33">
        <f t="shared" ref="B18:G18" si="2">B17/B14</f>
        <v>0</v>
      </c>
      <c r="C18" s="33">
        <f t="shared" si="2"/>
        <v>0</v>
      </c>
      <c r="D18" s="33">
        <f t="shared" si="2"/>
        <v>0</v>
      </c>
      <c r="E18" s="33">
        <f t="shared" si="2"/>
        <v>0</v>
      </c>
      <c r="F18" s="33">
        <f t="shared" si="2"/>
        <v>0</v>
      </c>
      <c r="G18" s="33">
        <f t="shared" si="2"/>
        <v>0</v>
      </c>
      <c r="H18" s="34"/>
      <c r="I18" s="34"/>
      <c r="J18" s="34"/>
      <c r="K18" s="34"/>
      <c r="L18" s="34"/>
    </row>
    <row r="19" spans="1:12" x14ac:dyDescent="0.35">
      <c r="A19" s="82"/>
      <c r="B19" s="33"/>
      <c r="C19" s="33"/>
      <c r="D19" s="33"/>
      <c r="E19" s="33"/>
      <c r="F19" s="33"/>
      <c r="G19" s="33"/>
      <c r="H19" s="34"/>
      <c r="I19" s="34"/>
      <c r="J19" s="34"/>
      <c r="K19" s="34"/>
      <c r="L19" s="34"/>
    </row>
    <row r="20" spans="1:12" x14ac:dyDescent="0.35">
      <c r="A20" s="82" t="s">
        <v>24</v>
      </c>
      <c r="B20" s="91">
        <f>'p&amp;l'!B13</f>
        <v>1258.17</v>
      </c>
      <c r="C20" s="91">
        <f>'p&amp;l'!C13</f>
        <v>1500.95</v>
      </c>
      <c r="D20" s="91">
        <f>'p&amp;l'!D13</f>
        <v>1529.94</v>
      </c>
      <c r="E20" s="91">
        <f>'p&amp;l'!E13</f>
        <v>1635.46</v>
      </c>
      <c r="F20" s="91">
        <f>'p&amp;l'!F13</f>
        <v>2336.06</v>
      </c>
      <c r="G20" s="91">
        <f>'p&amp;l'!G13</f>
        <v>2023.71</v>
      </c>
      <c r="H20" s="34"/>
      <c r="I20" s="34"/>
      <c r="J20" s="34"/>
      <c r="K20" s="34"/>
      <c r="L20" s="34"/>
    </row>
    <row r="21" spans="1:12" x14ac:dyDescent="0.35">
      <c r="A21" s="82" t="s">
        <v>22</v>
      </c>
      <c r="B21" s="49">
        <f t="shared" ref="B21:G21" si="3">B20/B11</f>
        <v>0.10172044401684872</v>
      </c>
      <c r="C21" s="49">
        <f t="shared" si="3"/>
        <v>0.11243045895777012</v>
      </c>
      <c r="D21" s="49">
        <f t="shared" si="3"/>
        <v>0.103790960877414</v>
      </c>
      <c r="E21" s="49">
        <f t="shared" si="3"/>
        <v>9.6790191845160314E-2</v>
      </c>
      <c r="F21" s="49">
        <f t="shared" si="3"/>
        <v>9.5764144218080841E-2</v>
      </c>
      <c r="G21" s="49">
        <f t="shared" si="3"/>
        <v>0.10017592700761722</v>
      </c>
      <c r="H21" s="34"/>
      <c r="I21" s="34"/>
      <c r="J21" s="34"/>
      <c r="K21" s="34"/>
      <c r="L21" s="34"/>
    </row>
    <row r="22" spans="1:12" x14ac:dyDescent="0.35">
      <c r="A22" s="82"/>
      <c r="B22" s="33"/>
      <c r="C22" s="33"/>
      <c r="D22" s="33"/>
      <c r="E22" s="33"/>
      <c r="F22" s="33"/>
      <c r="G22" s="33"/>
      <c r="H22" s="34"/>
      <c r="I22" s="34"/>
      <c r="J22" s="34"/>
      <c r="K22" s="34"/>
      <c r="L22" s="34"/>
    </row>
    <row r="23" spans="1:12" x14ac:dyDescent="0.35">
      <c r="A23" s="82" t="s">
        <v>25</v>
      </c>
      <c r="B23" s="33">
        <f>'p&amp;l'!B14</f>
        <v>129.12</v>
      </c>
      <c r="C23" s="33">
        <f>'p&amp;l'!C14</f>
        <v>164.18</v>
      </c>
      <c r="D23" s="33">
        <f>'p&amp;l'!D14</f>
        <v>201.68</v>
      </c>
      <c r="E23" s="33">
        <f>'p&amp;l'!E14</f>
        <v>154.57</v>
      </c>
      <c r="F23" s="33">
        <f>'p&amp;l'!F14</f>
        <v>145.49</v>
      </c>
      <c r="G23" s="33">
        <f>'p&amp;l'!G14</f>
        <v>136</v>
      </c>
      <c r="H23" s="34"/>
      <c r="I23" s="34"/>
      <c r="J23" s="34"/>
      <c r="K23" s="34"/>
      <c r="L23" s="34"/>
    </row>
    <row r="24" spans="1:12" x14ac:dyDescent="0.35">
      <c r="A24" s="82" t="s">
        <v>22</v>
      </c>
      <c r="B24" s="49">
        <f t="shared" ref="B24:G24" si="4">B23/B11</f>
        <v>1.0439085124788786E-2</v>
      </c>
      <c r="C24" s="49">
        <f t="shared" si="4"/>
        <v>1.2298099704644858E-2</v>
      </c>
      <c r="D24" s="49">
        <f t="shared" si="4"/>
        <v>1.3681948958623773E-2</v>
      </c>
      <c r="E24" s="49">
        <f t="shared" si="4"/>
        <v>9.1477993674601819E-3</v>
      </c>
      <c r="F24" s="49">
        <f t="shared" si="4"/>
        <v>5.9641984119793937E-3</v>
      </c>
      <c r="G24" s="49">
        <f t="shared" si="4"/>
        <v>6.732153358453505E-3</v>
      </c>
      <c r="H24" s="35"/>
      <c r="I24" s="34"/>
      <c r="J24" s="34"/>
      <c r="K24" s="34"/>
      <c r="L24" s="34"/>
    </row>
    <row r="25" spans="1:12" x14ac:dyDescent="0.35">
      <c r="A25" s="50"/>
      <c r="B25" s="33"/>
      <c r="C25" s="33"/>
      <c r="D25" s="33"/>
      <c r="E25" s="33"/>
      <c r="F25" s="33"/>
      <c r="G25" s="33"/>
      <c r="H25" s="34"/>
      <c r="I25" s="34"/>
      <c r="J25" s="34"/>
      <c r="K25" s="34"/>
      <c r="L25" s="34"/>
    </row>
    <row r="26" spans="1:12" x14ac:dyDescent="0.35">
      <c r="A26" s="82" t="s">
        <v>26</v>
      </c>
      <c r="B26" s="91">
        <f>'p&amp;l'!B16</f>
        <v>2960.93</v>
      </c>
      <c r="C26" s="91">
        <f>'p&amp;l'!C16</f>
        <v>2973.67</v>
      </c>
      <c r="D26" s="91">
        <f>'p&amp;l'!D16</f>
        <v>3296.1</v>
      </c>
      <c r="E26" s="91">
        <f>'p&amp;l'!E16</f>
        <v>3799.09</v>
      </c>
      <c r="F26" s="91">
        <f>'p&amp;l'!F16</f>
        <v>5499.48</v>
      </c>
      <c r="G26" s="91">
        <f>'p&amp;l'!G16</f>
        <v>4654.34</v>
      </c>
      <c r="H26" s="34"/>
      <c r="I26" s="34"/>
      <c r="J26" s="34"/>
      <c r="K26" s="34"/>
      <c r="L26" s="34"/>
    </row>
    <row r="27" spans="1:12" x14ac:dyDescent="0.35">
      <c r="A27" s="82" t="s">
        <v>22</v>
      </c>
      <c r="B27" s="49">
        <f t="shared" ref="B27:G27" si="5">B26/B11</f>
        <v>0.23938507062066958</v>
      </c>
      <c r="C27" s="49">
        <f t="shared" si="5"/>
        <v>0.22274631592588182</v>
      </c>
      <c r="D27" s="49">
        <f t="shared" si="5"/>
        <v>0.22360706050436244</v>
      </c>
      <c r="E27" s="49">
        <f t="shared" si="5"/>
        <v>0.22483866920440129</v>
      </c>
      <c r="F27" s="49">
        <f t="shared" si="5"/>
        <v>0.22544497823020435</v>
      </c>
      <c r="G27" s="49">
        <f t="shared" si="5"/>
        <v>0.23039507839988593</v>
      </c>
      <c r="H27" s="34"/>
      <c r="I27" s="34"/>
      <c r="J27" s="34"/>
      <c r="K27" s="34"/>
      <c r="L27" s="34"/>
    </row>
    <row r="28" spans="1:12" x14ac:dyDescent="0.35">
      <c r="A28" s="50"/>
      <c r="B28" s="33"/>
      <c r="C28" s="33"/>
      <c r="D28" s="33"/>
      <c r="E28" s="33"/>
      <c r="F28" s="33"/>
      <c r="G28" s="33"/>
      <c r="H28" s="34"/>
      <c r="I28" s="34"/>
      <c r="J28" s="34"/>
      <c r="K28" s="34"/>
      <c r="L28" s="34"/>
    </row>
    <row r="29" spans="1:12" x14ac:dyDescent="0.35">
      <c r="A29" s="82" t="s">
        <v>27</v>
      </c>
      <c r="B29" s="33">
        <f>'p&amp;l'!B26</f>
        <v>747</v>
      </c>
      <c r="C29" s="33">
        <f>'p&amp;l'!C26</f>
        <v>763.42</v>
      </c>
      <c r="D29" s="33">
        <f>'p&amp;l'!D26</f>
        <v>744.39</v>
      </c>
      <c r="E29" s="33">
        <f>'p&amp;l'!E26</f>
        <v>868.61</v>
      </c>
      <c r="F29" s="33">
        <f>'p&amp;l'!F26</f>
        <v>1315.68</v>
      </c>
      <c r="G29" s="33">
        <f>'p&amp;l'!G26</f>
        <v>1095.18</v>
      </c>
      <c r="H29" s="34"/>
      <c r="I29" s="34"/>
      <c r="J29" s="34"/>
      <c r="K29" s="34"/>
      <c r="L29" s="34"/>
    </row>
    <row r="30" spans="1:12" x14ac:dyDescent="0.35">
      <c r="A30" s="82" t="s">
        <v>28</v>
      </c>
      <c r="B30" s="49">
        <f>B29/'p&amp;l'!B24</f>
        <v>0.27941005951022824</v>
      </c>
      <c r="C30" s="49">
        <f>C29/'p&amp;l'!C24</f>
        <v>0.27141023681113768</v>
      </c>
      <c r="D30" s="49">
        <f>D29/'p&amp;l'!D24</f>
        <v>0.26052034773844018</v>
      </c>
      <c r="E30" s="49">
        <f>E29/'p&amp;l'!E24</f>
        <v>0.26677457101877478</v>
      </c>
      <c r="F30" s="49">
        <f>F29/'p&amp;l'!F24</f>
        <v>0.24876391365263281</v>
      </c>
      <c r="G30" s="49">
        <f>G29/'p&amp;l'!G24</f>
        <v>0.24624786676469992</v>
      </c>
      <c r="H30" s="34"/>
      <c r="I30" s="34"/>
      <c r="J30" s="34"/>
      <c r="K30" s="34"/>
      <c r="L30" s="34"/>
    </row>
    <row r="31" spans="1:12" x14ac:dyDescent="0.35">
      <c r="A31" s="82"/>
      <c r="B31" s="33"/>
      <c r="C31" s="33"/>
      <c r="D31" s="33"/>
      <c r="E31" s="33"/>
      <c r="F31" s="33"/>
      <c r="G31" s="33"/>
      <c r="H31" s="34"/>
      <c r="I31" s="34"/>
      <c r="J31" s="34"/>
      <c r="K31" s="34"/>
      <c r="L31" s="34"/>
    </row>
    <row r="32" spans="1:12" x14ac:dyDescent="0.35">
      <c r="A32" s="82" t="s">
        <v>29</v>
      </c>
      <c r="B32" s="33"/>
      <c r="C32" s="33"/>
      <c r="D32" s="33"/>
      <c r="E32" s="33"/>
      <c r="F32" s="33"/>
      <c r="G32" s="33"/>
      <c r="H32" s="34"/>
      <c r="I32" s="34"/>
      <c r="J32" s="34"/>
      <c r="K32" s="34"/>
      <c r="L32" s="34"/>
    </row>
    <row r="33" spans="1:12" x14ac:dyDescent="0.35">
      <c r="A33" s="82" t="s">
        <v>30</v>
      </c>
      <c r="B33" s="33"/>
      <c r="C33" s="33"/>
      <c r="D33" s="33"/>
      <c r="E33" s="33"/>
      <c r="F33" s="33"/>
      <c r="G33" s="33"/>
      <c r="H33" s="34"/>
      <c r="I33" s="34"/>
      <c r="J33" s="34"/>
      <c r="K33" s="34"/>
      <c r="L33" s="34"/>
    </row>
    <row r="35" spans="1:12" x14ac:dyDescent="0.35">
      <c r="A35" s="77" t="s">
        <v>31</v>
      </c>
      <c r="B35" s="83"/>
      <c r="C35" s="83"/>
      <c r="D35" s="83"/>
      <c r="E35" s="83"/>
      <c r="F35" s="83"/>
      <c r="G35" s="83"/>
    </row>
    <row r="36" spans="1:12" x14ac:dyDescent="0.35">
      <c r="A36" s="117" t="s">
        <v>15</v>
      </c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</row>
    <row r="37" spans="1:12" x14ac:dyDescent="0.35">
      <c r="A37" s="84" t="s">
        <v>16</v>
      </c>
      <c r="B37" s="88">
        <v>2019</v>
      </c>
      <c r="C37" s="88">
        <v>2020</v>
      </c>
      <c r="D37" s="88">
        <v>2021</v>
      </c>
      <c r="E37" s="88">
        <v>2022</v>
      </c>
      <c r="F37" s="88">
        <v>2024</v>
      </c>
      <c r="G37" s="88">
        <v>2025</v>
      </c>
      <c r="H37" s="89">
        <v>2026</v>
      </c>
      <c r="I37" s="89">
        <v>2027</v>
      </c>
      <c r="J37" s="89">
        <v>2028</v>
      </c>
      <c r="K37" s="89">
        <v>2029</v>
      </c>
      <c r="L37" s="89">
        <v>2030</v>
      </c>
    </row>
    <row r="38" spans="1:12" x14ac:dyDescent="0.35">
      <c r="A38" s="84" t="s">
        <v>32</v>
      </c>
      <c r="B38" s="33">
        <f>balance!B40</f>
        <v>124.33</v>
      </c>
      <c r="C38" s="33">
        <f>balance!C40</f>
        <v>164.93</v>
      </c>
      <c r="D38" s="33">
        <f>balance!D40</f>
        <v>165.97</v>
      </c>
      <c r="E38" s="33">
        <f>balance!E40</f>
        <v>191.89</v>
      </c>
      <c r="F38" s="33">
        <f>balance!F40</f>
        <v>300.45999999999998</v>
      </c>
      <c r="G38" s="33">
        <f>balance!G40</f>
        <v>363.15</v>
      </c>
      <c r="H38" s="34"/>
      <c r="I38" s="34"/>
      <c r="J38" s="34"/>
      <c r="K38" s="34"/>
      <c r="L38" s="34"/>
    </row>
    <row r="39" spans="1:12" x14ac:dyDescent="0.35">
      <c r="A39" s="84" t="s">
        <v>33</v>
      </c>
      <c r="B39" s="33"/>
      <c r="C39" s="33"/>
      <c r="D39" s="33"/>
      <c r="E39" s="33"/>
      <c r="F39" s="33"/>
      <c r="G39" s="33"/>
      <c r="H39" s="34"/>
      <c r="I39" s="34"/>
      <c r="J39" s="34"/>
      <c r="K39" s="34"/>
      <c r="L39" s="34"/>
    </row>
    <row r="40" spans="1:12" x14ac:dyDescent="0.35">
      <c r="A40" s="84"/>
      <c r="B40" s="33"/>
      <c r="C40" s="33"/>
      <c r="D40" s="33"/>
      <c r="E40" s="33"/>
      <c r="F40" s="33"/>
      <c r="G40" s="33"/>
      <c r="H40" s="34"/>
      <c r="I40" s="34"/>
      <c r="J40" s="34"/>
      <c r="K40" s="34"/>
      <c r="L40" s="34"/>
    </row>
    <row r="41" spans="1:12" x14ac:dyDescent="0.35">
      <c r="A41" s="84" t="s">
        <v>34</v>
      </c>
      <c r="B41" s="91">
        <f>balance!B36</f>
        <v>1283.07</v>
      </c>
      <c r="C41" s="91">
        <f>balance!C36</f>
        <v>1416.48</v>
      </c>
      <c r="D41" s="91">
        <f>balance!D36</f>
        <v>1592.65</v>
      </c>
      <c r="E41" s="91">
        <f>balance!E36</f>
        <v>1928.77</v>
      </c>
      <c r="F41" s="91">
        <f>balance!F36</f>
        <v>2089.36</v>
      </c>
      <c r="G41" s="91">
        <f>balance!G36</f>
        <v>2850.14</v>
      </c>
      <c r="H41" s="34"/>
      <c r="I41" s="34"/>
      <c r="J41" s="34"/>
      <c r="K41" s="34"/>
      <c r="L41" s="34"/>
    </row>
    <row r="42" spans="1:12" x14ac:dyDescent="0.35">
      <c r="A42" s="84" t="s">
        <v>35</v>
      </c>
      <c r="B42" s="33"/>
      <c r="C42" s="33"/>
      <c r="D42" s="33"/>
      <c r="E42" s="33"/>
      <c r="F42" s="33"/>
      <c r="G42" s="33"/>
      <c r="H42" s="34"/>
      <c r="I42" s="34"/>
      <c r="J42" s="34"/>
      <c r="K42" s="34"/>
      <c r="L42" s="34"/>
    </row>
    <row r="43" spans="1:12" x14ac:dyDescent="0.35">
      <c r="A43" s="84"/>
      <c r="B43" s="33"/>
      <c r="C43" s="33"/>
      <c r="D43" s="33"/>
      <c r="E43" s="33"/>
      <c r="F43" s="33"/>
      <c r="G43" s="33"/>
      <c r="H43" s="34"/>
      <c r="I43" s="34"/>
      <c r="J43" s="34"/>
      <c r="K43" s="34"/>
      <c r="L43" s="34"/>
    </row>
    <row r="44" spans="1:12" x14ac:dyDescent="0.35">
      <c r="A44" s="84" t="s">
        <v>36</v>
      </c>
      <c r="B44" s="91">
        <f>balance!B98</f>
        <v>1491.53</v>
      </c>
      <c r="C44" s="91">
        <f>balance!C98</f>
        <v>1516.58</v>
      </c>
      <c r="D44" s="91">
        <f>balance!D98</f>
        <v>1748.17</v>
      </c>
      <c r="E44" s="91">
        <f>balance!E98</f>
        <v>2120.94</v>
      </c>
      <c r="F44" s="91">
        <f>balance!F98</f>
        <v>2812.01</v>
      </c>
      <c r="G44" s="91">
        <f>balance!G98</f>
        <v>2623.81</v>
      </c>
      <c r="H44" s="34"/>
      <c r="I44" s="34"/>
      <c r="J44" s="34"/>
      <c r="K44" s="34"/>
      <c r="L44" s="34"/>
    </row>
    <row r="45" spans="1:12" x14ac:dyDescent="0.35">
      <c r="A45" s="84" t="s">
        <v>37</v>
      </c>
      <c r="B45" s="33"/>
      <c r="C45" s="33"/>
      <c r="D45" s="33"/>
      <c r="E45" s="33"/>
      <c r="F45" s="33"/>
      <c r="G45" s="33"/>
      <c r="H45" s="34"/>
      <c r="I45" s="34"/>
      <c r="J45" s="34"/>
      <c r="K45" s="34"/>
      <c r="L45" s="34"/>
    </row>
    <row r="46" spans="1:12" x14ac:dyDescent="0.35">
      <c r="A46" s="84"/>
      <c r="B46" s="33"/>
      <c r="C46" s="33"/>
      <c r="D46" s="33"/>
      <c r="E46" s="33"/>
      <c r="F46" s="33"/>
      <c r="G46" s="33"/>
      <c r="H46" s="34"/>
      <c r="I46" s="34"/>
      <c r="J46" s="34"/>
      <c r="K46" s="34"/>
      <c r="L46" s="34"/>
    </row>
    <row r="47" spans="1:12" x14ac:dyDescent="0.35">
      <c r="A47" s="84" t="s">
        <v>38</v>
      </c>
      <c r="B47" s="33">
        <f>balance!B103</f>
        <v>133.96</v>
      </c>
      <c r="C47" s="33">
        <f>balance!C103</f>
        <v>149.01</v>
      </c>
      <c r="D47" s="33">
        <f>balance!D103</f>
        <v>170.33</v>
      </c>
      <c r="E47" s="33">
        <f>balance!E103</f>
        <v>230.97</v>
      </c>
      <c r="F47" s="33">
        <f>balance!F103</f>
        <v>139.38</v>
      </c>
      <c r="G47" s="33">
        <f>balance!G103</f>
        <v>215.87</v>
      </c>
      <c r="H47" s="34"/>
      <c r="I47" s="34"/>
      <c r="J47" s="34"/>
      <c r="K47" s="34"/>
      <c r="L47" s="34"/>
    </row>
    <row r="48" spans="1:12" x14ac:dyDescent="0.35">
      <c r="A48" s="84" t="s">
        <v>39</v>
      </c>
      <c r="B48" s="33"/>
      <c r="C48" s="33"/>
      <c r="D48" s="33"/>
      <c r="E48" s="33"/>
      <c r="F48" s="33"/>
      <c r="G48" s="33"/>
      <c r="H48" s="34"/>
      <c r="I48" s="34"/>
      <c r="J48" s="34"/>
      <c r="K48" s="34"/>
      <c r="L48" s="34"/>
    </row>
    <row r="49" spans="1:12" x14ac:dyDescent="0.35">
      <c r="A49" s="84"/>
      <c r="B49" s="33"/>
      <c r="C49" s="33"/>
      <c r="D49" s="33"/>
      <c r="E49" s="33"/>
      <c r="F49" s="33"/>
      <c r="G49" s="33"/>
      <c r="H49" s="34"/>
      <c r="I49" s="34"/>
      <c r="J49" s="34"/>
      <c r="K49" s="34"/>
      <c r="L49" s="34"/>
    </row>
    <row r="50" spans="1:12" x14ac:dyDescent="0.35">
      <c r="A50" s="84" t="s">
        <v>40</v>
      </c>
      <c r="B50" s="33">
        <f>balance!B47</f>
        <v>26.02</v>
      </c>
      <c r="C50" s="33">
        <f>balance!C47</f>
        <v>38.68</v>
      </c>
      <c r="D50" s="33">
        <f>balance!D47</f>
        <v>95.25</v>
      </c>
      <c r="E50" s="33">
        <f>balance!E47</f>
        <v>138.07</v>
      </c>
      <c r="F50" s="33">
        <f>balance!F47</f>
        <v>228.79</v>
      </c>
      <c r="G50" s="33">
        <f>balance!G47</f>
        <v>390.19</v>
      </c>
      <c r="H50" s="34"/>
      <c r="I50" s="34"/>
      <c r="J50" s="34"/>
      <c r="K50" s="34"/>
      <c r="L50" s="34"/>
    </row>
    <row r="51" spans="1:12" x14ac:dyDescent="0.35">
      <c r="A51" s="84" t="s">
        <v>39</v>
      </c>
      <c r="B51" s="33"/>
      <c r="C51" s="33"/>
      <c r="D51" s="33"/>
      <c r="E51" s="33"/>
      <c r="F51" s="33"/>
      <c r="G51" s="33"/>
    </row>
  </sheetData>
  <mergeCells count="3">
    <mergeCell ref="A36:L36"/>
    <mergeCell ref="A1:K1"/>
    <mergeCell ref="A9:L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22"/>
  <sheetViews>
    <sheetView showGridLines="0" topLeftCell="A8" workbookViewId="0">
      <selection activeCell="E15" sqref="E15"/>
    </sheetView>
  </sheetViews>
  <sheetFormatPr defaultRowHeight="14.5" x14ac:dyDescent="0.35"/>
  <cols>
    <col min="1" max="1" width="16.7265625" bestFit="1" customWidth="1"/>
    <col min="2" max="2" width="37.6328125" bestFit="1" customWidth="1"/>
    <col min="3" max="3" width="14.7265625" bestFit="1" customWidth="1"/>
  </cols>
  <sheetData>
    <row r="1" spans="1:5" x14ac:dyDescent="0.35">
      <c r="A1" s="69" t="s">
        <v>383</v>
      </c>
      <c r="B1" s="69" t="s">
        <v>427</v>
      </c>
    </row>
    <row r="2" spans="1:5" x14ac:dyDescent="0.35">
      <c r="A2" s="9" t="s">
        <v>428</v>
      </c>
      <c r="B2" s="10">
        <f>B14</f>
        <v>4117.1499999999996</v>
      </c>
      <c r="E2" t="s">
        <v>429</v>
      </c>
    </row>
    <row r="3" spans="1:5" x14ac:dyDescent="0.35">
      <c r="A3" s="9" t="s">
        <v>293</v>
      </c>
      <c r="B3" s="64">
        <f>'DDM VALUE '!B13</f>
        <v>8.3500000000000005E-2</v>
      </c>
      <c r="E3" t="s">
        <v>430</v>
      </c>
    </row>
    <row r="4" spans="1:5" x14ac:dyDescent="0.35">
      <c r="A4" s="9" t="s">
        <v>431</v>
      </c>
      <c r="B4" s="9">
        <f>B10</f>
        <v>1166.8499999999999</v>
      </c>
    </row>
    <row r="5" spans="1:5" x14ac:dyDescent="0.35">
      <c r="A5" s="9" t="s">
        <v>432</v>
      </c>
      <c r="B5" s="64">
        <f>B12</f>
        <v>8.6861809817952926E-2</v>
      </c>
    </row>
    <row r="6" spans="1:5" x14ac:dyDescent="0.35">
      <c r="A6" s="9" t="s">
        <v>433</v>
      </c>
      <c r="B6" s="70">
        <f>B2+B4</f>
        <v>5284</v>
      </c>
    </row>
    <row r="8" spans="1:5" x14ac:dyDescent="0.35">
      <c r="A8" s="69" t="s">
        <v>434</v>
      </c>
      <c r="B8" s="69" t="s">
        <v>435</v>
      </c>
      <c r="C8" s="55" t="s">
        <v>436</v>
      </c>
    </row>
    <row r="9" spans="1:5" x14ac:dyDescent="0.35">
      <c r="A9" s="9" t="s">
        <v>437</v>
      </c>
      <c r="B9" s="9">
        <f>'p&amp;l'!G14</f>
        <v>136</v>
      </c>
    </row>
    <row r="10" spans="1:5" x14ac:dyDescent="0.35">
      <c r="A10" s="9" t="s">
        <v>438</v>
      </c>
      <c r="B10" s="9">
        <f>balance!G84+balance!G85+balance!G96+balance!G97</f>
        <v>1166.8499999999999</v>
      </c>
    </row>
    <row r="11" spans="1:5" x14ac:dyDescent="0.35">
      <c r="A11" s="9" t="s">
        <v>363</v>
      </c>
      <c r="B11" s="64">
        <f>FCFF!G7</f>
        <v>0.25474483245530605</v>
      </c>
    </row>
    <row r="12" spans="1:5" x14ac:dyDescent="0.35">
      <c r="A12" s="71" t="s">
        <v>439</v>
      </c>
      <c r="B12" s="72">
        <f>(B9/B10)*(1-B11)</f>
        <v>8.6861809817952926E-2</v>
      </c>
    </row>
    <row r="14" spans="1:5" x14ac:dyDescent="0.35">
      <c r="A14" s="71" t="s">
        <v>428</v>
      </c>
      <c r="B14" s="73">
        <f>balance!G77</f>
        <v>4117.1499999999996</v>
      </c>
    </row>
    <row r="17" spans="1:2" x14ac:dyDescent="0.35">
      <c r="A17" s="74" t="s">
        <v>383</v>
      </c>
      <c r="B17" s="75"/>
    </row>
    <row r="18" spans="1:2" x14ac:dyDescent="0.35">
      <c r="A18" s="9" t="s">
        <v>440</v>
      </c>
      <c r="B18" s="64">
        <f>B2/B6</f>
        <v>0.77917297501892502</v>
      </c>
    </row>
    <row r="19" spans="1:2" x14ac:dyDescent="0.35">
      <c r="A19" s="9" t="s">
        <v>441</v>
      </c>
      <c r="B19" s="64">
        <f>B4/B6</f>
        <v>0.22082702498107493</v>
      </c>
    </row>
    <row r="20" spans="1:2" x14ac:dyDescent="0.35">
      <c r="A20" s="9" t="s">
        <v>293</v>
      </c>
      <c r="B20" s="64">
        <f>B3</f>
        <v>8.3500000000000005E-2</v>
      </c>
    </row>
    <row r="21" spans="1:2" x14ac:dyDescent="0.35">
      <c r="A21" s="9" t="s">
        <v>432</v>
      </c>
      <c r="B21" s="64">
        <f>B5</f>
        <v>8.6861809817952926E-2</v>
      </c>
    </row>
    <row r="22" spans="1:2" x14ac:dyDescent="0.35">
      <c r="A22" s="68" t="s">
        <v>383</v>
      </c>
      <c r="B22" s="76">
        <f>(B18*B20)+(B19*B21)</f>
        <v>8.4242378460650705E-2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about </vt:lpstr>
      <vt:lpstr>p&amp;l</vt:lpstr>
      <vt:lpstr>balance</vt:lpstr>
      <vt:lpstr>ratio</vt:lpstr>
      <vt:lpstr>DIVDEND DATA</vt:lpstr>
      <vt:lpstr>DDM</vt:lpstr>
      <vt:lpstr>DDM VALUE </vt:lpstr>
      <vt:lpstr>FCFF</vt:lpstr>
      <vt:lpstr>Sheet1</vt:lpstr>
      <vt:lpstr>wacc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tanya grover</dc:creator>
  <cp:lastModifiedBy>tanya grover</cp:lastModifiedBy>
  <dcterms:created xsi:type="dcterms:W3CDTF">2026-03-10T16:20:38Z</dcterms:created>
  <dcterms:modified xsi:type="dcterms:W3CDTF">2026-10-13T14:22:50Z</dcterms:modified>
</cp:coreProperties>
</file>